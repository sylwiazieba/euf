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amboll-my.sharepoint.com/personal/szieba_ramboll_com/Documents/Documents/Copilot/Created/GIS/"/>
    </mc:Choice>
  </mc:AlternateContent>
  <xr:revisionPtr revIDLastSave="383" documentId="8_{65934952-A4EC-480B-8B4D-0BD0A77759AE}" xr6:coauthVersionLast="47" xr6:coauthVersionMax="47" xr10:uidLastSave="{F3A70D73-BB7E-44D7-B06B-E2797D6914D2}"/>
  <bookViews>
    <workbookView xWindow="-120" yWindow="-16320" windowWidth="29040" windowHeight="15720" xr2:uid="{A2DD4BD4-1009-4AF1-B975-1206866C7995}"/>
  </bookViews>
  <sheets>
    <sheet name="harvest_tracker_euf_20260719" sheetId="1" r:id="rId1"/>
  </sheets>
  <definedNames>
    <definedName name="_xlnm._FilterDatabase" localSheetId="0" hidden="1">harvest_tracker_euf_20260719!$A$1:$L$209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F50" i="1"/>
  <c r="F49" i="1"/>
  <c r="F48" i="1"/>
  <c r="F60" i="1"/>
</calcChain>
</file>

<file path=xl/sharedStrings.xml><?xml version="1.0" encoding="utf-8"?>
<sst xmlns="http://schemas.openxmlformats.org/spreadsheetml/2006/main" count="679" uniqueCount="97">
  <si>
    <t>ObjectID</t>
  </si>
  <si>
    <t>Crop Type</t>
  </si>
  <si>
    <t>Variety</t>
  </si>
  <si>
    <t>Harvest Date</t>
  </si>
  <si>
    <t>Unit Type</t>
  </si>
  <si>
    <t>Weight (lbs)</t>
  </si>
  <si>
    <t>Volume (pots)</t>
  </si>
  <si>
    <t>Bunches (count)</t>
  </si>
  <si>
    <t>Volume (bins)</t>
  </si>
  <si>
    <t>Donation</t>
  </si>
  <si>
    <t>Wholesale</t>
  </si>
  <si>
    <t>Notes / Comments</t>
  </si>
  <si>
    <t>weight</t>
  </si>
  <si>
    <t>bunch</t>
  </si>
  <si>
    <t>Logged as scallions/small onions at 16 lbs</t>
  </si>
  <si>
    <t>New Bethany</t>
  </si>
  <si>
    <t>Pembroke</t>
  </si>
  <si>
    <t>bin</t>
  </si>
  <si>
    <t>Donated 7/1/2026</t>
  </si>
  <si>
    <t>Project of Easton</t>
  </si>
  <si>
    <t>Harvest/donation project</t>
  </si>
  <si>
    <t>Safe Harbor</t>
  </si>
  <si>
    <t>12 x 1/2 pint, and a mixed pint (strawberries + raspberries)</t>
  </si>
  <si>
    <t>37 pints from Steve's tree</t>
  </si>
  <si>
    <t>Equivalent to 25.5 pints</t>
  </si>
  <si>
    <t>Equivalent to 7.5 pints</t>
  </si>
  <si>
    <t>Initially logged as 4 qts</t>
  </si>
  <si>
    <t>Equivalent to 15 pints</t>
  </si>
  <si>
    <t>Equivalent to 12 pints</t>
  </si>
  <si>
    <t>Mixed mint, lemon balm, sage, oregano, fennel</t>
  </si>
  <si>
    <t>Nature's Way</t>
  </si>
  <si>
    <t>volume</t>
  </si>
  <si>
    <t>Mixed lovage, oregano, mint, chives, parsley, sage</t>
  </si>
  <si>
    <t>Cabbage</t>
  </si>
  <si>
    <t>Herbs</t>
  </si>
  <si>
    <t>Summer Squash</t>
  </si>
  <si>
    <t>Kale</t>
  </si>
  <si>
    <t>Collard Greens</t>
  </si>
  <si>
    <t>Swiss Chard</t>
  </si>
  <si>
    <t>Peas</t>
  </si>
  <si>
    <t>Broccoli</t>
  </si>
  <si>
    <t>Scallion</t>
  </si>
  <si>
    <t>Onion</t>
  </si>
  <si>
    <t>Lettuce</t>
  </si>
  <si>
    <t>Arugula</t>
  </si>
  <si>
    <t>Garlic Scapes</t>
  </si>
  <si>
    <t>Strawberries</t>
  </si>
  <si>
    <t>Raspberries</t>
  </si>
  <si>
    <t>Cherries</t>
  </si>
  <si>
    <t>Mustard Greens</t>
  </si>
  <si>
    <t>Asparagus</t>
  </si>
  <si>
    <t>Rhubarb</t>
  </si>
  <si>
    <t>Winter Squash</t>
  </si>
  <si>
    <t>Garlic Scallion</t>
  </si>
  <si>
    <t>Golden Acre</t>
  </si>
  <si>
    <t>Fennel</t>
  </si>
  <si>
    <t>Georgia Southern</t>
  </si>
  <si>
    <t>Snow Pea</t>
  </si>
  <si>
    <t>Parsley</t>
  </si>
  <si>
    <t>Spearmint</t>
  </si>
  <si>
    <t>Purple Sage</t>
  </si>
  <si>
    <t>Calabrese</t>
  </si>
  <si>
    <t>Lemon Balm</t>
  </si>
  <si>
    <t>Mint</t>
  </si>
  <si>
    <t>Unknown</t>
  </si>
  <si>
    <t>Lambs Quarters</t>
  </si>
  <si>
    <t>Sage</t>
  </si>
  <si>
    <t>Tarragon</t>
  </si>
  <si>
    <t>Other</t>
  </si>
  <si>
    <t>Sugar Snap</t>
  </si>
  <si>
    <t>Red Romaine</t>
  </si>
  <si>
    <t>Oregano</t>
  </si>
  <si>
    <t>Lacinato</t>
  </si>
  <si>
    <t>Red Russian</t>
  </si>
  <si>
    <t>Chinese Mustard Greens</t>
  </si>
  <si>
    <t>Chives</t>
  </si>
  <si>
    <t>Long Island Cheese</t>
  </si>
  <si>
    <t>Pumpkin Racer Plus</t>
  </si>
  <si>
    <t>Cilantro</t>
  </si>
  <si>
    <t>Delicata</t>
  </si>
  <si>
    <t>NaN</t>
  </si>
  <si>
    <t>Mixed Kale</t>
  </si>
  <si>
    <t>Mixed Summer Squash</t>
  </si>
  <si>
    <t>Mixed Herbs</t>
  </si>
  <si>
    <t>Equivalent to 30 heads</t>
  </si>
  <si>
    <t>Equivalent to 2 heads</t>
  </si>
  <si>
    <t>Basil</t>
  </si>
  <si>
    <t>Napa Cabbage</t>
  </si>
  <si>
    <t>Elderberry</t>
  </si>
  <si>
    <t>Easton Housing</t>
  </si>
  <si>
    <t>Cukes</t>
  </si>
  <si>
    <t>Pickalot</t>
  </si>
  <si>
    <t>Eggplant</t>
  </si>
  <si>
    <t>Black Beauty</t>
  </si>
  <si>
    <t>Beans</t>
  </si>
  <si>
    <t>Provider</t>
  </si>
  <si>
    <t>Black Beauty; Asian Delight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</si>
</sst>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14" fontId="0" fillId="0" borderId="0" xfId="0" applyNumberFormat="1"/>
    <xf numFmtId="0" fontId="16" fillId="0" borderId="0" xfId="0" applyFont="1"/>
    <xf numFmtId="0" fontId="16" fillId="33" borderId="0" xfId="0" applyFont="1" applyFill="1"/>
    <xf numFmtId="0" fontId="16" fillId="34" borderId="0" xfId="0" applyFont="1" applyFill="1"/>
    <xf numFmtId="0" fontId="16" fillId="0" borderId="0" xfId="0" applyFont="1" applyFill="1"/>
    <xf numFmtId="0" fontId="0" fillId="0" borderId="0" xfId="0" applyFill="1"/>
    <xf numFmtId="0" fontId="0" fillId="0" borderId="0" xfId="0" applyFont="1" applyFill="1"/>
    <xf numFmtId="14" fontId="0" fillId="0" borderId="0" xfId="0" applyNumberFormat="1" applyFont="1" applyFill="1"/>
    <xf numFmtId="14" fontId="0" fillId="0" borderId="0" xfId="0" applyNumberFormat="1" applyFont="1"/>
    <xf numFmtId="0" fontId="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285FB-FAE5-44EC-95DD-45544C42776F}">
  <dimension ref="A1:L209"/>
  <sheetViews>
    <sheetView tabSelected="1" workbookViewId="0">
      <selection activeCell="D12" sqref="D12"/>
    </sheetView>
  </sheetViews>
  <sheetFormatPr defaultRowHeight="15" x14ac:dyDescent="0.25"/>
  <cols>
    <col min="2" max="2" width="15.85546875" customWidth="1"/>
    <col min="3" max="3" width="25.140625" bestFit="1" customWidth="1"/>
    <col min="4" max="4" width="12.7109375" bestFit="1" customWidth="1"/>
    <col min="6" max="6" width="12" bestFit="1" customWidth="1"/>
    <col min="7" max="7" width="13.85546875" bestFit="1" customWidth="1"/>
    <col min="8" max="8" width="15.85546875" bestFit="1" customWidth="1"/>
    <col min="9" max="9" width="13.7109375" bestFit="1" customWidth="1"/>
  </cols>
  <sheetData>
    <row r="1" spans="1:12" x14ac:dyDescent="0.25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2" t="s">
        <v>9</v>
      </c>
      <c r="K1" s="2" t="s">
        <v>10</v>
      </c>
      <c r="L1" s="2" t="s">
        <v>11</v>
      </c>
    </row>
    <row r="2" spans="1:12" s="6" customFormat="1" x14ac:dyDescent="0.25">
      <c r="A2">
        <v>208</v>
      </c>
      <c r="B2" s="7" t="s">
        <v>34</v>
      </c>
      <c r="C2" s="7" t="s">
        <v>66</v>
      </c>
      <c r="D2" s="8">
        <v>46248</v>
      </c>
      <c r="E2" s="7" t="s">
        <v>12</v>
      </c>
      <c r="F2" s="7">
        <v>1</v>
      </c>
      <c r="G2" s="5"/>
      <c r="H2" s="5"/>
      <c r="I2" s="5"/>
      <c r="J2" s="5"/>
      <c r="K2" s="5"/>
      <c r="L2" s="5"/>
    </row>
    <row r="3" spans="1:12" s="6" customFormat="1" x14ac:dyDescent="0.25">
      <c r="A3">
        <v>207</v>
      </c>
      <c r="B3" s="7" t="s">
        <v>34</v>
      </c>
      <c r="C3" s="7" t="s">
        <v>67</v>
      </c>
      <c r="D3" s="8">
        <v>46248</v>
      </c>
      <c r="E3" s="7" t="s">
        <v>12</v>
      </c>
      <c r="F3" s="7">
        <v>1</v>
      </c>
      <c r="G3" s="5"/>
      <c r="H3" s="5"/>
      <c r="I3" s="5"/>
      <c r="J3" s="5"/>
      <c r="K3" s="5"/>
      <c r="L3" s="5"/>
    </row>
    <row r="4" spans="1:12" s="6" customFormat="1" x14ac:dyDescent="0.25">
      <c r="A4">
        <v>206</v>
      </c>
      <c r="B4" s="7" t="s">
        <v>34</v>
      </c>
      <c r="C4" s="7" t="s">
        <v>55</v>
      </c>
      <c r="D4" s="8">
        <v>46248</v>
      </c>
      <c r="E4" s="7" t="s">
        <v>12</v>
      </c>
      <c r="F4" s="7">
        <v>2</v>
      </c>
      <c r="G4" s="5"/>
      <c r="H4" s="5"/>
      <c r="I4" s="5"/>
      <c r="J4" s="5"/>
      <c r="K4" s="5"/>
      <c r="L4" s="5"/>
    </row>
    <row r="5" spans="1:12" s="6" customFormat="1" x14ac:dyDescent="0.25">
      <c r="A5">
        <v>205</v>
      </c>
      <c r="B5" s="7" t="s">
        <v>34</v>
      </c>
      <c r="C5" s="7" t="s">
        <v>58</v>
      </c>
      <c r="D5" s="8">
        <v>46248</v>
      </c>
      <c r="E5" s="7" t="s">
        <v>12</v>
      </c>
      <c r="F5" s="7">
        <v>4</v>
      </c>
      <c r="G5" s="5"/>
      <c r="H5" s="5"/>
      <c r="I5" s="5"/>
      <c r="J5" s="5"/>
      <c r="K5" s="5"/>
      <c r="L5" s="5"/>
    </row>
    <row r="6" spans="1:12" s="6" customFormat="1" x14ac:dyDescent="0.25">
      <c r="A6">
        <v>204</v>
      </c>
      <c r="B6" s="7" t="s">
        <v>35</v>
      </c>
      <c r="C6" s="7" t="s">
        <v>82</v>
      </c>
      <c r="D6" s="8">
        <v>46248</v>
      </c>
      <c r="E6" s="7" t="s">
        <v>12</v>
      </c>
      <c r="F6" s="7">
        <v>75</v>
      </c>
      <c r="G6" s="5"/>
      <c r="H6" s="5"/>
      <c r="I6" s="5"/>
      <c r="J6" s="5"/>
      <c r="K6" s="5"/>
      <c r="L6" s="5"/>
    </row>
    <row r="7" spans="1:12" s="6" customFormat="1" x14ac:dyDescent="0.25">
      <c r="A7">
        <v>203</v>
      </c>
      <c r="B7" s="7" t="s">
        <v>90</v>
      </c>
      <c r="C7" s="7" t="s">
        <v>91</v>
      </c>
      <c r="D7" s="8">
        <v>46248</v>
      </c>
      <c r="E7" s="7" t="s">
        <v>12</v>
      </c>
      <c r="F7" s="7">
        <f>9.5 + 46</f>
        <v>55.5</v>
      </c>
      <c r="G7" s="5"/>
      <c r="H7" s="5"/>
      <c r="I7" s="5"/>
      <c r="J7" s="5"/>
      <c r="K7" s="5"/>
      <c r="L7" s="5"/>
    </row>
    <row r="8" spans="1:12" s="6" customFormat="1" x14ac:dyDescent="0.25">
      <c r="A8">
        <v>202</v>
      </c>
      <c r="B8" s="7" t="s">
        <v>34</v>
      </c>
      <c r="C8" s="7" t="s">
        <v>55</v>
      </c>
      <c r="D8" s="9">
        <v>46246</v>
      </c>
      <c r="E8" s="10" t="s">
        <v>12</v>
      </c>
      <c r="F8" s="7">
        <v>4</v>
      </c>
      <c r="G8" s="5"/>
      <c r="H8" s="5"/>
      <c r="I8" s="5"/>
      <c r="J8" s="5"/>
      <c r="K8" s="5"/>
      <c r="L8" s="5"/>
    </row>
    <row r="9" spans="1:12" s="6" customFormat="1" x14ac:dyDescent="0.25">
      <c r="A9">
        <v>201</v>
      </c>
      <c r="B9" s="7" t="s">
        <v>34</v>
      </c>
      <c r="C9" s="7" t="s">
        <v>58</v>
      </c>
      <c r="D9" s="8">
        <v>46246</v>
      </c>
      <c r="E9" s="7" t="s">
        <v>12</v>
      </c>
      <c r="F9" s="7">
        <v>4</v>
      </c>
      <c r="G9" s="5"/>
      <c r="H9" s="5"/>
      <c r="I9" s="5"/>
      <c r="J9" s="5"/>
      <c r="K9" s="5"/>
      <c r="L9" s="5"/>
    </row>
    <row r="10" spans="1:12" s="6" customFormat="1" x14ac:dyDescent="0.25">
      <c r="A10">
        <v>200</v>
      </c>
      <c r="B10" s="7" t="s">
        <v>34</v>
      </c>
      <c r="C10" s="7" t="s">
        <v>59</v>
      </c>
      <c r="D10" s="9">
        <v>46246</v>
      </c>
      <c r="E10" s="10" t="s">
        <v>12</v>
      </c>
      <c r="F10" s="7">
        <v>2</v>
      </c>
      <c r="G10" s="5"/>
      <c r="H10" s="5"/>
      <c r="I10" s="5"/>
      <c r="J10" s="5"/>
      <c r="K10" s="5"/>
      <c r="L10" s="5"/>
    </row>
    <row r="11" spans="1:12" s="6" customFormat="1" x14ac:dyDescent="0.25">
      <c r="A11">
        <v>199</v>
      </c>
      <c r="B11" s="7" t="s">
        <v>38</v>
      </c>
      <c r="C11" s="7" t="s">
        <v>80</v>
      </c>
      <c r="D11" s="8">
        <v>46246</v>
      </c>
      <c r="E11" s="7" t="s">
        <v>12</v>
      </c>
      <c r="F11" s="7">
        <v>22</v>
      </c>
      <c r="G11" s="5"/>
      <c r="H11" s="5"/>
      <c r="I11" s="5"/>
      <c r="J11" s="5"/>
      <c r="K11" s="5"/>
      <c r="L11" s="5"/>
    </row>
    <row r="12" spans="1:12" s="6" customFormat="1" x14ac:dyDescent="0.25">
      <c r="A12">
        <v>198</v>
      </c>
      <c r="B12" s="7" t="s">
        <v>37</v>
      </c>
      <c r="C12" s="7" t="s">
        <v>56</v>
      </c>
      <c r="D12" s="9">
        <v>46246</v>
      </c>
      <c r="E12" s="10" t="s">
        <v>12</v>
      </c>
      <c r="F12" s="7">
        <v>85</v>
      </c>
      <c r="G12" s="5"/>
      <c r="H12" s="5"/>
      <c r="I12" s="5"/>
      <c r="J12" s="5"/>
      <c r="K12" s="5"/>
      <c r="L12" s="5"/>
    </row>
    <row r="13" spans="1:12" x14ac:dyDescent="0.25">
      <c r="A13">
        <v>197</v>
      </c>
      <c r="B13" s="7" t="s">
        <v>36</v>
      </c>
      <c r="C13" s="7" t="s">
        <v>81</v>
      </c>
      <c r="D13" s="8">
        <v>46246</v>
      </c>
      <c r="E13" s="7" t="s">
        <v>12</v>
      </c>
      <c r="F13" s="7">
        <v>85</v>
      </c>
      <c r="G13" s="5"/>
      <c r="H13" s="5"/>
      <c r="I13" s="5"/>
      <c r="J13" s="2"/>
      <c r="K13" s="2"/>
      <c r="L13" s="2"/>
    </row>
    <row r="14" spans="1:12" x14ac:dyDescent="0.25">
      <c r="A14">
        <v>196</v>
      </c>
      <c r="B14" s="7" t="s">
        <v>90</v>
      </c>
      <c r="C14" s="7" t="s">
        <v>91</v>
      </c>
      <c r="D14" s="9">
        <v>46246</v>
      </c>
      <c r="E14" s="10" t="s">
        <v>12</v>
      </c>
      <c r="F14" s="7">
        <v>66</v>
      </c>
      <c r="G14" s="5"/>
      <c r="H14" s="5"/>
      <c r="I14" s="5"/>
      <c r="J14" s="2"/>
      <c r="K14" s="2"/>
      <c r="L14" s="2"/>
    </row>
    <row r="15" spans="1:12" x14ac:dyDescent="0.25">
      <c r="A15">
        <v>195</v>
      </c>
      <c r="B15" s="7" t="s">
        <v>42</v>
      </c>
      <c r="C15" s="7" t="s">
        <v>80</v>
      </c>
      <c r="D15" s="8">
        <v>46246</v>
      </c>
      <c r="E15" s="7" t="s">
        <v>12</v>
      </c>
      <c r="F15" s="7">
        <v>19</v>
      </c>
      <c r="G15" s="5"/>
      <c r="H15" s="5"/>
      <c r="I15" s="5"/>
      <c r="J15" s="2"/>
      <c r="K15" s="2"/>
      <c r="L15" s="2"/>
    </row>
    <row r="16" spans="1:12" x14ac:dyDescent="0.25">
      <c r="A16">
        <v>194</v>
      </c>
      <c r="B16" s="7" t="s">
        <v>94</v>
      </c>
      <c r="C16" s="7" t="s">
        <v>95</v>
      </c>
      <c r="D16" s="9">
        <v>46246</v>
      </c>
      <c r="E16" s="10" t="s">
        <v>12</v>
      </c>
      <c r="F16" s="7">
        <v>7</v>
      </c>
      <c r="G16" s="5"/>
      <c r="H16" s="5"/>
      <c r="I16" s="5"/>
      <c r="J16" s="2"/>
      <c r="K16" s="2"/>
      <c r="L16" s="2"/>
    </row>
    <row r="17" spans="1:12" x14ac:dyDescent="0.25">
      <c r="A17">
        <v>193</v>
      </c>
      <c r="B17" s="7" t="s">
        <v>35</v>
      </c>
      <c r="C17" s="7" t="s">
        <v>82</v>
      </c>
      <c r="D17" s="8">
        <v>46246</v>
      </c>
      <c r="E17" s="7" t="s">
        <v>12</v>
      </c>
      <c r="F17" s="7">
        <v>95</v>
      </c>
      <c r="G17" s="5"/>
      <c r="H17" s="5"/>
      <c r="I17" s="5"/>
      <c r="J17" s="2"/>
      <c r="K17" s="2"/>
      <c r="L17" s="2"/>
    </row>
    <row r="18" spans="1:12" x14ac:dyDescent="0.25">
      <c r="A18">
        <v>192</v>
      </c>
      <c r="B18" t="s">
        <v>34</v>
      </c>
      <c r="C18" t="s">
        <v>86</v>
      </c>
      <c r="D18" s="1">
        <v>46246</v>
      </c>
      <c r="E18" t="s">
        <v>12</v>
      </c>
      <c r="F18">
        <v>5.5</v>
      </c>
    </row>
    <row r="19" spans="1:12" x14ac:dyDescent="0.25">
      <c r="A19">
        <v>191</v>
      </c>
      <c r="B19" t="s">
        <v>94</v>
      </c>
      <c r="C19" t="s">
        <v>95</v>
      </c>
      <c r="D19" s="1">
        <v>46246</v>
      </c>
      <c r="E19" t="s">
        <v>12</v>
      </c>
      <c r="F19">
        <v>7</v>
      </c>
    </row>
    <row r="20" spans="1:12" x14ac:dyDescent="0.25">
      <c r="A20">
        <v>190</v>
      </c>
      <c r="B20" t="s">
        <v>92</v>
      </c>
      <c r="C20" t="s">
        <v>96</v>
      </c>
      <c r="D20" s="1">
        <v>46246</v>
      </c>
      <c r="E20" t="s">
        <v>12</v>
      </c>
      <c r="F20">
        <v>56</v>
      </c>
    </row>
    <row r="21" spans="1:12" x14ac:dyDescent="0.25">
      <c r="A21">
        <v>189</v>
      </c>
      <c r="B21" t="s">
        <v>94</v>
      </c>
      <c r="C21" t="s">
        <v>95</v>
      </c>
      <c r="D21" s="1">
        <v>46245</v>
      </c>
      <c r="E21" t="s">
        <v>12</v>
      </c>
      <c r="F21">
        <v>7.7</v>
      </c>
    </row>
    <row r="22" spans="1:12" x14ac:dyDescent="0.25">
      <c r="A22">
        <v>188</v>
      </c>
      <c r="B22" t="s">
        <v>40</v>
      </c>
      <c r="C22" t="s">
        <v>61</v>
      </c>
      <c r="D22" s="1">
        <v>46245</v>
      </c>
      <c r="E22" t="s">
        <v>12</v>
      </c>
      <c r="F22">
        <v>15</v>
      </c>
    </row>
    <row r="23" spans="1:12" x14ac:dyDescent="0.25">
      <c r="A23">
        <v>187</v>
      </c>
      <c r="B23" t="s">
        <v>36</v>
      </c>
      <c r="C23" t="s">
        <v>81</v>
      </c>
      <c r="D23" s="1">
        <v>46241</v>
      </c>
      <c r="E23" t="s">
        <v>12</v>
      </c>
      <c r="F23">
        <v>5</v>
      </c>
      <c r="J23" t="s">
        <v>21</v>
      </c>
    </row>
    <row r="24" spans="1:12" x14ac:dyDescent="0.25">
      <c r="A24">
        <v>186</v>
      </c>
      <c r="B24" t="s">
        <v>35</v>
      </c>
      <c r="C24" t="s">
        <v>82</v>
      </c>
      <c r="D24" s="1">
        <v>46241</v>
      </c>
      <c r="E24" t="s">
        <v>12</v>
      </c>
      <c r="F24">
        <v>27</v>
      </c>
    </row>
    <row r="25" spans="1:12" x14ac:dyDescent="0.25">
      <c r="A25">
        <v>185</v>
      </c>
      <c r="B25" t="s">
        <v>34</v>
      </c>
      <c r="C25" t="s">
        <v>86</v>
      </c>
      <c r="D25" s="1">
        <v>46241</v>
      </c>
      <c r="E25" t="s">
        <v>12</v>
      </c>
      <c r="F25">
        <v>14.6</v>
      </c>
    </row>
    <row r="26" spans="1:12" x14ac:dyDescent="0.25">
      <c r="A26">
        <v>184</v>
      </c>
      <c r="B26" t="s">
        <v>34</v>
      </c>
      <c r="C26" t="s">
        <v>86</v>
      </c>
      <c r="D26" s="1">
        <v>46240</v>
      </c>
      <c r="E26" t="s">
        <v>12</v>
      </c>
      <c r="F26">
        <v>7</v>
      </c>
    </row>
    <row r="27" spans="1:12" x14ac:dyDescent="0.25">
      <c r="A27">
        <v>183</v>
      </c>
      <c r="B27" t="s">
        <v>92</v>
      </c>
      <c r="C27" t="s">
        <v>93</v>
      </c>
      <c r="D27" s="1">
        <v>46240</v>
      </c>
      <c r="E27" t="s">
        <v>12</v>
      </c>
      <c r="F27">
        <v>62.65</v>
      </c>
    </row>
    <row r="28" spans="1:12" x14ac:dyDescent="0.25">
      <c r="A28">
        <v>182</v>
      </c>
      <c r="B28" t="s">
        <v>42</v>
      </c>
      <c r="C28" t="s">
        <v>80</v>
      </c>
      <c r="D28" s="1">
        <v>46240</v>
      </c>
      <c r="E28" t="s">
        <v>12</v>
      </c>
      <c r="F28">
        <v>31.2</v>
      </c>
    </row>
    <row r="29" spans="1:12" x14ac:dyDescent="0.25">
      <c r="A29">
        <v>181</v>
      </c>
      <c r="B29" t="s">
        <v>33</v>
      </c>
      <c r="C29" t="s">
        <v>87</v>
      </c>
      <c r="D29" s="1">
        <v>46240</v>
      </c>
      <c r="E29" t="s">
        <v>12</v>
      </c>
      <c r="F29">
        <v>42.5</v>
      </c>
    </row>
    <row r="30" spans="1:12" x14ac:dyDescent="0.25">
      <c r="A30">
        <v>180</v>
      </c>
      <c r="B30" t="s">
        <v>34</v>
      </c>
      <c r="C30" t="s">
        <v>58</v>
      </c>
      <c r="D30" s="1">
        <v>46240</v>
      </c>
      <c r="E30" t="s">
        <v>12</v>
      </c>
      <c r="F30">
        <v>2.8</v>
      </c>
    </row>
    <row r="31" spans="1:12" x14ac:dyDescent="0.25">
      <c r="A31">
        <v>179</v>
      </c>
      <c r="B31" t="s">
        <v>34</v>
      </c>
      <c r="C31" t="s">
        <v>55</v>
      </c>
      <c r="D31" s="1">
        <v>46240</v>
      </c>
      <c r="E31" t="s">
        <v>12</v>
      </c>
      <c r="F31">
        <v>3.5</v>
      </c>
    </row>
    <row r="32" spans="1:12" x14ac:dyDescent="0.25">
      <c r="A32">
        <v>178</v>
      </c>
      <c r="B32" t="s">
        <v>34</v>
      </c>
      <c r="C32" t="s">
        <v>63</v>
      </c>
      <c r="D32" s="1">
        <v>46240</v>
      </c>
      <c r="E32" t="s">
        <v>12</v>
      </c>
      <c r="F32">
        <v>3</v>
      </c>
    </row>
    <row r="33" spans="1:10" x14ac:dyDescent="0.25">
      <c r="A33">
        <v>177</v>
      </c>
      <c r="B33" t="s">
        <v>40</v>
      </c>
      <c r="C33" t="s">
        <v>61</v>
      </c>
      <c r="D33" s="1">
        <v>46240</v>
      </c>
      <c r="E33" t="s">
        <v>12</v>
      </c>
      <c r="F33">
        <v>4.4000000000000004</v>
      </c>
    </row>
    <row r="34" spans="1:10" x14ac:dyDescent="0.25">
      <c r="A34">
        <v>176</v>
      </c>
      <c r="B34" t="s">
        <v>90</v>
      </c>
      <c r="C34" t="s">
        <v>91</v>
      </c>
      <c r="D34" s="1">
        <v>46240</v>
      </c>
      <c r="E34" t="s">
        <v>12</v>
      </c>
      <c r="F34">
        <v>21.75</v>
      </c>
    </row>
    <row r="35" spans="1:10" x14ac:dyDescent="0.25">
      <c r="A35">
        <v>175</v>
      </c>
      <c r="B35" t="s">
        <v>35</v>
      </c>
      <c r="C35" t="s">
        <v>82</v>
      </c>
      <c r="D35" s="1">
        <v>46240</v>
      </c>
      <c r="E35" t="s">
        <v>12</v>
      </c>
      <c r="F35">
        <v>304.8</v>
      </c>
    </row>
    <row r="36" spans="1:10" x14ac:dyDescent="0.25">
      <c r="A36">
        <v>174</v>
      </c>
      <c r="B36" t="s">
        <v>38</v>
      </c>
      <c r="C36" t="s">
        <v>80</v>
      </c>
      <c r="D36" s="1">
        <v>46240</v>
      </c>
      <c r="E36" t="s">
        <v>12</v>
      </c>
      <c r="F36">
        <v>7.8</v>
      </c>
    </row>
    <row r="37" spans="1:10" x14ac:dyDescent="0.25">
      <c r="A37">
        <v>173</v>
      </c>
      <c r="B37" t="s">
        <v>37</v>
      </c>
      <c r="C37" t="s">
        <v>56</v>
      </c>
      <c r="D37" s="1">
        <v>46240</v>
      </c>
      <c r="E37" t="s">
        <v>12</v>
      </c>
      <c r="F37">
        <v>52</v>
      </c>
    </row>
    <row r="38" spans="1:10" x14ac:dyDescent="0.25">
      <c r="A38">
        <v>172</v>
      </c>
      <c r="B38" t="s">
        <v>36</v>
      </c>
      <c r="C38" t="s">
        <v>81</v>
      </c>
      <c r="D38" s="1">
        <v>46240</v>
      </c>
      <c r="E38" t="s">
        <v>12</v>
      </c>
      <c r="F38">
        <v>36.5</v>
      </c>
    </row>
    <row r="39" spans="1:10" x14ac:dyDescent="0.25">
      <c r="A39">
        <v>171</v>
      </c>
      <c r="B39" t="s">
        <v>35</v>
      </c>
      <c r="C39" t="s">
        <v>82</v>
      </c>
      <c r="D39" s="1">
        <v>46232</v>
      </c>
      <c r="E39" t="s">
        <v>12</v>
      </c>
      <c r="F39">
        <v>15</v>
      </c>
      <c r="J39" t="s">
        <v>89</v>
      </c>
    </row>
    <row r="40" spans="1:10" x14ac:dyDescent="0.25">
      <c r="A40">
        <v>170</v>
      </c>
      <c r="B40" t="s">
        <v>37</v>
      </c>
      <c r="C40" t="s">
        <v>56</v>
      </c>
      <c r="D40" s="1">
        <v>46232</v>
      </c>
      <c r="E40" t="s">
        <v>12</v>
      </c>
      <c r="F40">
        <v>5</v>
      </c>
      <c r="J40" t="s">
        <v>89</v>
      </c>
    </row>
    <row r="41" spans="1:10" x14ac:dyDescent="0.25">
      <c r="A41">
        <v>169</v>
      </c>
      <c r="B41" t="s">
        <v>36</v>
      </c>
      <c r="C41" t="s">
        <v>81</v>
      </c>
      <c r="D41" s="1">
        <v>46232</v>
      </c>
      <c r="E41" t="s">
        <v>12</v>
      </c>
      <c r="F41">
        <v>5</v>
      </c>
      <c r="J41" t="s">
        <v>89</v>
      </c>
    </row>
    <row r="42" spans="1:10" x14ac:dyDescent="0.25">
      <c r="A42">
        <v>168</v>
      </c>
      <c r="B42" t="s">
        <v>34</v>
      </c>
      <c r="C42" t="s">
        <v>58</v>
      </c>
      <c r="D42" s="1">
        <v>46230</v>
      </c>
      <c r="E42" t="s">
        <v>13</v>
      </c>
      <c r="H42">
        <v>1</v>
      </c>
    </row>
    <row r="43" spans="1:10" x14ac:dyDescent="0.25">
      <c r="A43">
        <v>167</v>
      </c>
      <c r="B43" t="s">
        <v>34</v>
      </c>
      <c r="C43" t="s">
        <v>71</v>
      </c>
      <c r="D43" s="1">
        <v>46230</v>
      </c>
      <c r="E43" t="s">
        <v>13</v>
      </c>
      <c r="H43">
        <v>1</v>
      </c>
    </row>
    <row r="44" spans="1:10" x14ac:dyDescent="0.25">
      <c r="A44">
        <v>166</v>
      </c>
      <c r="B44" t="s">
        <v>34</v>
      </c>
      <c r="C44" t="s">
        <v>66</v>
      </c>
      <c r="D44" s="1">
        <v>46230</v>
      </c>
      <c r="E44" t="s">
        <v>13</v>
      </c>
      <c r="H44">
        <v>1</v>
      </c>
    </row>
    <row r="45" spans="1:10" x14ac:dyDescent="0.25">
      <c r="A45">
        <v>165</v>
      </c>
      <c r="B45" t="s">
        <v>34</v>
      </c>
      <c r="C45" t="s">
        <v>88</v>
      </c>
      <c r="D45" s="1">
        <v>46230</v>
      </c>
      <c r="E45" t="s">
        <v>13</v>
      </c>
      <c r="H45">
        <v>1</v>
      </c>
    </row>
    <row r="46" spans="1:10" x14ac:dyDescent="0.25">
      <c r="A46">
        <v>164</v>
      </c>
      <c r="B46" t="s">
        <v>34</v>
      </c>
      <c r="C46" t="s">
        <v>59</v>
      </c>
      <c r="D46" s="1">
        <v>46230</v>
      </c>
      <c r="E46" t="s">
        <v>12</v>
      </c>
      <c r="F46">
        <v>2</v>
      </c>
    </row>
    <row r="47" spans="1:10" x14ac:dyDescent="0.25">
      <c r="A47">
        <v>163</v>
      </c>
      <c r="B47" t="s">
        <v>34</v>
      </c>
      <c r="C47" t="s">
        <v>55</v>
      </c>
      <c r="D47" s="1">
        <v>46230</v>
      </c>
      <c r="E47" t="s">
        <v>12</v>
      </c>
      <c r="F47">
        <v>2</v>
      </c>
    </row>
    <row r="48" spans="1:10" x14ac:dyDescent="0.25">
      <c r="A48">
        <v>162</v>
      </c>
      <c r="B48" t="s">
        <v>35</v>
      </c>
      <c r="C48" t="s">
        <v>82</v>
      </c>
      <c r="D48" s="1">
        <v>46230</v>
      </c>
      <c r="E48" t="s">
        <v>12</v>
      </c>
      <c r="F48">
        <f>15+20+23+23+35+30</f>
        <v>146</v>
      </c>
    </row>
    <row r="49" spans="1:12" x14ac:dyDescent="0.25">
      <c r="A49">
        <v>161</v>
      </c>
      <c r="B49" t="s">
        <v>37</v>
      </c>
      <c r="C49" t="s">
        <v>56</v>
      </c>
      <c r="D49" s="1">
        <v>46230</v>
      </c>
      <c r="E49" t="s">
        <v>12</v>
      </c>
      <c r="F49">
        <f>30+25</f>
        <v>55</v>
      </c>
    </row>
    <row r="50" spans="1:12" x14ac:dyDescent="0.25">
      <c r="A50">
        <v>160</v>
      </c>
      <c r="B50" t="s">
        <v>36</v>
      </c>
      <c r="C50" t="s">
        <v>81</v>
      </c>
      <c r="D50" s="1">
        <v>46230</v>
      </c>
      <c r="E50" t="s">
        <v>12</v>
      </c>
      <c r="F50">
        <f>23+20</f>
        <v>43</v>
      </c>
    </row>
    <row r="51" spans="1:12" x14ac:dyDescent="0.25">
      <c r="A51">
        <v>159</v>
      </c>
      <c r="B51" t="s">
        <v>35</v>
      </c>
      <c r="C51" t="s">
        <v>82</v>
      </c>
      <c r="D51" s="1">
        <v>46229</v>
      </c>
      <c r="E51" t="s">
        <v>12</v>
      </c>
      <c r="F51">
        <v>40</v>
      </c>
    </row>
    <row r="52" spans="1:12" x14ac:dyDescent="0.25">
      <c r="A52">
        <v>158</v>
      </c>
      <c r="B52" t="s">
        <v>36</v>
      </c>
      <c r="C52" t="s">
        <v>81</v>
      </c>
      <c r="D52" s="1">
        <v>46229</v>
      </c>
      <c r="E52" t="s">
        <v>12</v>
      </c>
      <c r="F52">
        <v>22</v>
      </c>
    </row>
    <row r="53" spans="1:12" x14ac:dyDescent="0.25">
      <c r="A53">
        <v>157</v>
      </c>
      <c r="B53" t="s">
        <v>37</v>
      </c>
      <c r="C53" t="s">
        <v>56</v>
      </c>
      <c r="D53" s="1">
        <v>46229</v>
      </c>
      <c r="E53" t="s">
        <v>12</v>
      </c>
      <c r="F53">
        <v>24</v>
      </c>
    </row>
    <row r="54" spans="1:12" x14ac:dyDescent="0.25">
      <c r="A54">
        <v>156</v>
      </c>
      <c r="B54" t="s">
        <v>34</v>
      </c>
      <c r="C54" t="s">
        <v>58</v>
      </c>
      <c r="D54" s="1">
        <v>46227</v>
      </c>
      <c r="E54" t="s">
        <v>12</v>
      </c>
      <c r="F54">
        <v>1</v>
      </c>
    </row>
    <row r="55" spans="1:12" x14ac:dyDescent="0.25">
      <c r="A55">
        <v>155</v>
      </c>
      <c r="B55" t="s">
        <v>34</v>
      </c>
      <c r="C55" t="s">
        <v>55</v>
      </c>
      <c r="D55" s="1">
        <v>46227</v>
      </c>
      <c r="E55" t="s">
        <v>12</v>
      </c>
      <c r="F55">
        <v>0.25</v>
      </c>
    </row>
    <row r="56" spans="1:12" x14ac:dyDescent="0.25">
      <c r="A56">
        <v>154</v>
      </c>
      <c r="B56" t="s">
        <v>35</v>
      </c>
      <c r="C56" t="s">
        <v>82</v>
      </c>
      <c r="D56" s="1">
        <v>46227</v>
      </c>
      <c r="E56" t="s">
        <v>12</v>
      </c>
      <c r="F56">
        <v>52</v>
      </c>
    </row>
    <row r="57" spans="1:12" x14ac:dyDescent="0.25">
      <c r="A57">
        <v>153</v>
      </c>
      <c r="B57" t="s">
        <v>38</v>
      </c>
      <c r="C57" t="s">
        <v>80</v>
      </c>
      <c r="D57" s="1">
        <v>46227</v>
      </c>
      <c r="E57" t="s">
        <v>12</v>
      </c>
      <c r="F57">
        <v>7</v>
      </c>
    </row>
    <row r="58" spans="1:12" x14ac:dyDescent="0.25">
      <c r="A58">
        <v>152</v>
      </c>
      <c r="B58" t="s">
        <v>37</v>
      </c>
      <c r="C58" t="s">
        <v>56</v>
      </c>
      <c r="D58" s="1">
        <v>46227</v>
      </c>
      <c r="E58" t="s">
        <v>12</v>
      </c>
      <c r="F58">
        <v>9</v>
      </c>
    </row>
    <row r="59" spans="1:12" x14ac:dyDescent="0.25">
      <c r="A59">
        <v>151</v>
      </c>
      <c r="B59" t="s">
        <v>36</v>
      </c>
      <c r="C59" t="s">
        <v>81</v>
      </c>
      <c r="D59" s="1">
        <v>46227</v>
      </c>
      <c r="E59" t="s">
        <v>12</v>
      </c>
      <c r="F59">
        <v>10</v>
      </c>
    </row>
    <row r="60" spans="1:12" x14ac:dyDescent="0.25">
      <c r="A60">
        <v>150</v>
      </c>
      <c r="B60" t="s">
        <v>33</v>
      </c>
      <c r="C60" t="s">
        <v>87</v>
      </c>
      <c r="D60" s="1">
        <v>46223</v>
      </c>
      <c r="E60" t="s">
        <v>12</v>
      </c>
      <c r="F60">
        <f>98.15+28</f>
        <v>126.15</v>
      </c>
    </row>
    <row r="61" spans="1:12" x14ac:dyDescent="0.25">
      <c r="A61">
        <v>149</v>
      </c>
      <c r="B61" t="s">
        <v>38</v>
      </c>
      <c r="C61" t="s">
        <v>80</v>
      </c>
      <c r="D61" s="1">
        <v>46223</v>
      </c>
      <c r="E61" t="s">
        <v>12</v>
      </c>
      <c r="F61">
        <v>12</v>
      </c>
    </row>
    <row r="62" spans="1:12" x14ac:dyDescent="0.25">
      <c r="A62">
        <v>148</v>
      </c>
      <c r="B62" t="s">
        <v>34</v>
      </c>
      <c r="C62" t="s">
        <v>86</v>
      </c>
      <c r="D62" s="1">
        <v>46223</v>
      </c>
      <c r="E62" t="s">
        <v>12</v>
      </c>
      <c r="F62">
        <v>2.9</v>
      </c>
    </row>
    <row r="63" spans="1:12" x14ac:dyDescent="0.25">
      <c r="A63">
        <v>147</v>
      </c>
      <c r="B63" t="s">
        <v>33</v>
      </c>
      <c r="C63" t="s">
        <v>54</v>
      </c>
      <c r="D63" s="1">
        <v>46218</v>
      </c>
      <c r="E63" t="s">
        <v>12</v>
      </c>
      <c r="F63">
        <v>2.5</v>
      </c>
      <c r="L63" t="s">
        <v>85</v>
      </c>
    </row>
    <row r="64" spans="1:12" x14ac:dyDescent="0.25">
      <c r="A64">
        <v>146</v>
      </c>
      <c r="B64" t="s">
        <v>34</v>
      </c>
      <c r="C64" t="s">
        <v>55</v>
      </c>
      <c r="D64" s="1">
        <v>46216</v>
      </c>
      <c r="E64" t="s">
        <v>12</v>
      </c>
      <c r="F64">
        <v>2.5</v>
      </c>
    </row>
    <row r="65" spans="1:12" x14ac:dyDescent="0.25">
      <c r="A65">
        <v>145</v>
      </c>
      <c r="B65" t="s">
        <v>35</v>
      </c>
      <c r="C65" t="s">
        <v>82</v>
      </c>
      <c r="D65" s="1">
        <v>46216</v>
      </c>
      <c r="E65" t="s">
        <v>12</v>
      </c>
      <c r="F65">
        <v>84.75</v>
      </c>
    </row>
    <row r="66" spans="1:12" x14ac:dyDescent="0.25">
      <c r="A66">
        <v>144</v>
      </c>
      <c r="B66" t="s">
        <v>36</v>
      </c>
      <c r="C66" t="s">
        <v>81</v>
      </c>
      <c r="D66" s="1">
        <v>46216</v>
      </c>
      <c r="E66" t="s">
        <v>12</v>
      </c>
      <c r="F66">
        <v>32</v>
      </c>
    </row>
    <row r="67" spans="1:12" x14ac:dyDescent="0.25">
      <c r="A67">
        <v>143</v>
      </c>
      <c r="B67" t="s">
        <v>37</v>
      </c>
      <c r="C67" t="s">
        <v>56</v>
      </c>
      <c r="D67" s="1">
        <v>46216</v>
      </c>
      <c r="E67" t="s">
        <v>12</v>
      </c>
      <c r="F67">
        <v>40.799999999999997</v>
      </c>
    </row>
    <row r="68" spans="1:12" x14ac:dyDescent="0.25">
      <c r="A68">
        <v>142</v>
      </c>
      <c r="B68" t="s">
        <v>35</v>
      </c>
      <c r="C68" t="s">
        <v>82</v>
      </c>
      <c r="D68" s="1">
        <v>46216</v>
      </c>
      <c r="E68" t="s">
        <v>12</v>
      </c>
      <c r="F68">
        <v>250</v>
      </c>
    </row>
    <row r="69" spans="1:12" x14ac:dyDescent="0.25">
      <c r="A69">
        <v>141</v>
      </c>
      <c r="B69" t="s">
        <v>38</v>
      </c>
      <c r="C69" t="s">
        <v>80</v>
      </c>
      <c r="D69" s="1">
        <v>46216</v>
      </c>
      <c r="E69" t="s">
        <v>12</v>
      </c>
      <c r="F69">
        <v>10</v>
      </c>
    </row>
    <row r="70" spans="1:12" x14ac:dyDescent="0.25">
      <c r="A70">
        <v>140</v>
      </c>
      <c r="B70" t="s">
        <v>39</v>
      </c>
      <c r="C70" t="s">
        <v>57</v>
      </c>
      <c r="D70" s="1">
        <v>46216</v>
      </c>
      <c r="E70" t="s">
        <v>12</v>
      </c>
      <c r="F70">
        <v>2</v>
      </c>
    </row>
    <row r="71" spans="1:12" x14ac:dyDescent="0.25">
      <c r="A71">
        <v>139</v>
      </c>
      <c r="B71" t="s">
        <v>34</v>
      </c>
      <c r="C71" t="s">
        <v>55</v>
      </c>
      <c r="D71" s="1">
        <v>46216</v>
      </c>
      <c r="E71" t="s">
        <v>12</v>
      </c>
      <c r="F71">
        <v>0.5</v>
      </c>
    </row>
    <row r="72" spans="1:12" x14ac:dyDescent="0.25">
      <c r="A72">
        <v>138</v>
      </c>
      <c r="B72" t="s">
        <v>34</v>
      </c>
      <c r="C72" t="s">
        <v>58</v>
      </c>
      <c r="D72" s="1">
        <v>46216</v>
      </c>
      <c r="E72" t="s">
        <v>12</v>
      </c>
      <c r="F72">
        <v>2</v>
      </c>
    </row>
    <row r="73" spans="1:12" x14ac:dyDescent="0.25">
      <c r="A73">
        <v>137</v>
      </c>
      <c r="B73" t="s">
        <v>35</v>
      </c>
      <c r="C73" t="s">
        <v>82</v>
      </c>
      <c r="D73" s="1">
        <v>46212</v>
      </c>
      <c r="E73" t="s">
        <v>12</v>
      </c>
      <c r="F73">
        <v>48.5</v>
      </c>
    </row>
    <row r="74" spans="1:12" x14ac:dyDescent="0.25">
      <c r="A74">
        <v>136</v>
      </c>
      <c r="B74" t="s">
        <v>34</v>
      </c>
      <c r="C74" t="s">
        <v>59</v>
      </c>
      <c r="D74" s="1">
        <v>46212</v>
      </c>
      <c r="E74" t="s">
        <v>13</v>
      </c>
      <c r="H74">
        <v>1</v>
      </c>
    </row>
    <row r="75" spans="1:12" x14ac:dyDescent="0.25">
      <c r="A75">
        <v>135</v>
      </c>
      <c r="B75" t="s">
        <v>34</v>
      </c>
      <c r="C75" t="s">
        <v>60</v>
      </c>
      <c r="D75" s="1">
        <v>46212</v>
      </c>
      <c r="E75" t="s">
        <v>13</v>
      </c>
      <c r="H75">
        <v>1</v>
      </c>
    </row>
    <row r="76" spans="1:12" x14ac:dyDescent="0.25">
      <c r="A76">
        <v>134</v>
      </c>
      <c r="B76" t="s">
        <v>40</v>
      </c>
      <c r="C76" t="s">
        <v>61</v>
      </c>
      <c r="D76" s="1">
        <v>46212</v>
      </c>
      <c r="E76" t="s">
        <v>12</v>
      </c>
      <c r="F76">
        <v>6</v>
      </c>
    </row>
    <row r="77" spans="1:12" x14ac:dyDescent="0.25">
      <c r="A77">
        <v>133</v>
      </c>
      <c r="B77" t="s">
        <v>34</v>
      </c>
      <c r="C77" t="s">
        <v>62</v>
      </c>
      <c r="D77" s="1">
        <v>46212</v>
      </c>
      <c r="E77" t="s">
        <v>12</v>
      </c>
      <c r="F77">
        <v>2</v>
      </c>
    </row>
    <row r="78" spans="1:12" x14ac:dyDescent="0.25">
      <c r="A78">
        <v>132</v>
      </c>
      <c r="B78" t="s">
        <v>41</v>
      </c>
      <c r="C78" t="s">
        <v>80</v>
      </c>
      <c r="D78" s="1">
        <v>46212</v>
      </c>
      <c r="E78" t="s">
        <v>12</v>
      </c>
      <c r="F78">
        <v>6</v>
      </c>
      <c r="L78" t="s">
        <v>14</v>
      </c>
    </row>
    <row r="79" spans="1:12" x14ac:dyDescent="0.25">
      <c r="A79">
        <v>131</v>
      </c>
      <c r="B79" t="s">
        <v>42</v>
      </c>
      <c r="C79" t="s">
        <v>80</v>
      </c>
      <c r="D79" s="1">
        <v>46212</v>
      </c>
      <c r="E79" t="s">
        <v>12</v>
      </c>
      <c r="F79">
        <v>10</v>
      </c>
      <c r="L79" t="s">
        <v>14</v>
      </c>
    </row>
    <row r="80" spans="1:12" x14ac:dyDescent="0.25">
      <c r="A80">
        <v>130</v>
      </c>
      <c r="B80" t="s">
        <v>36</v>
      </c>
      <c r="C80" t="s">
        <v>81</v>
      </c>
      <c r="D80" s="1">
        <v>46211</v>
      </c>
      <c r="E80" t="s">
        <v>12</v>
      </c>
      <c r="F80">
        <v>36.049999999999997</v>
      </c>
    </row>
    <row r="81" spans="1:10" x14ac:dyDescent="0.25">
      <c r="A81">
        <v>129</v>
      </c>
      <c r="B81" t="s">
        <v>37</v>
      </c>
      <c r="C81" t="s">
        <v>56</v>
      </c>
      <c r="D81" s="1">
        <v>46211</v>
      </c>
      <c r="E81" t="s">
        <v>12</v>
      </c>
      <c r="F81">
        <v>14.75</v>
      </c>
    </row>
    <row r="82" spans="1:10" x14ac:dyDescent="0.25">
      <c r="A82">
        <v>128</v>
      </c>
      <c r="B82" t="s">
        <v>39</v>
      </c>
      <c r="C82" t="s">
        <v>57</v>
      </c>
      <c r="D82" s="1">
        <v>46211</v>
      </c>
      <c r="E82" t="s">
        <v>12</v>
      </c>
      <c r="F82">
        <v>8.1999999999999993</v>
      </c>
    </row>
    <row r="83" spans="1:10" x14ac:dyDescent="0.25">
      <c r="A83">
        <v>127</v>
      </c>
      <c r="B83" t="s">
        <v>35</v>
      </c>
      <c r="C83" t="s">
        <v>82</v>
      </c>
      <c r="D83" s="1">
        <v>46211</v>
      </c>
      <c r="E83" t="s">
        <v>12</v>
      </c>
      <c r="F83">
        <v>68</v>
      </c>
    </row>
    <row r="84" spans="1:10" x14ac:dyDescent="0.25">
      <c r="A84">
        <v>126</v>
      </c>
      <c r="B84" t="s">
        <v>34</v>
      </c>
      <c r="C84" t="s">
        <v>63</v>
      </c>
      <c r="D84" s="1">
        <v>46211</v>
      </c>
      <c r="E84" t="s">
        <v>13</v>
      </c>
      <c r="H84">
        <v>1</v>
      </c>
    </row>
    <row r="85" spans="1:10" x14ac:dyDescent="0.25">
      <c r="A85">
        <v>125</v>
      </c>
      <c r="B85" t="s">
        <v>34</v>
      </c>
      <c r="C85" t="s">
        <v>58</v>
      </c>
      <c r="D85" s="1">
        <v>46211</v>
      </c>
      <c r="E85" t="s">
        <v>13</v>
      </c>
      <c r="H85">
        <v>1</v>
      </c>
    </row>
    <row r="86" spans="1:10" x14ac:dyDescent="0.25">
      <c r="A86">
        <v>124</v>
      </c>
      <c r="B86" t="s">
        <v>34</v>
      </c>
      <c r="C86" t="s">
        <v>55</v>
      </c>
      <c r="D86" s="1">
        <v>46211</v>
      </c>
      <c r="E86" t="s">
        <v>13</v>
      </c>
      <c r="H86">
        <v>1</v>
      </c>
    </row>
    <row r="87" spans="1:10" x14ac:dyDescent="0.25">
      <c r="A87">
        <v>123</v>
      </c>
      <c r="B87" t="s">
        <v>43</v>
      </c>
      <c r="C87" t="s">
        <v>64</v>
      </c>
      <c r="D87" s="1">
        <v>46211</v>
      </c>
      <c r="E87" t="s">
        <v>12</v>
      </c>
      <c r="F87">
        <v>64</v>
      </c>
    </row>
    <row r="88" spans="1:10" x14ac:dyDescent="0.25">
      <c r="A88">
        <v>122</v>
      </c>
      <c r="B88" t="s">
        <v>38</v>
      </c>
      <c r="C88" t="s">
        <v>80</v>
      </c>
      <c r="D88" s="1">
        <v>46211</v>
      </c>
      <c r="E88" t="s">
        <v>12</v>
      </c>
      <c r="F88">
        <v>19</v>
      </c>
    </row>
    <row r="89" spans="1:10" x14ac:dyDescent="0.25">
      <c r="A89">
        <v>121</v>
      </c>
      <c r="B89" t="s">
        <v>34</v>
      </c>
      <c r="C89" t="s">
        <v>65</v>
      </c>
      <c r="D89" s="1">
        <v>46211</v>
      </c>
      <c r="E89" t="s">
        <v>12</v>
      </c>
      <c r="F89">
        <v>23.75</v>
      </c>
      <c r="J89" t="s">
        <v>15</v>
      </c>
    </row>
    <row r="90" spans="1:10" x14ac:dyDescent="0.25">
      <c r="A90">
        <v>120</v>
      </c>
      <c r="B90" t="s">
        <v>36</v>
      </c>
      <c r="C90" t="s">
        <v>81</v>
      </c>
      <c r="D90" s="1">
        <v>46211</v>
      </c>
      <c r="E90" t="s">
        <v>12</v>
      </c>
      <c r="F90">
        <v>6.65</v>
      </c>
      <c r="J90" t="s">
        <v>15</v>
      </c>
    </row>
    <row r="91" spans="1:10" x14ac:dyDescent="0.25">
      <c r="A91">
        <v>119</v>
      </c>
      <c r="B91" t="s">
        <v>37</v>
      </c>
      <c r="C91" t="s">
        <v>56</v>
      </c>
      <c r="D91" s="1">
        <v>46211</v>
      </c>
      <c r="E91" t="s">
        <v>12</v>
      </c>
      <c r="F91">
        <v>14.8</v>
      </c>
      <c r="J91" t="s">
        <v>15</v>
      </c>
    </row>
    <row r="92" spans="1:10" x14ac:dyDescent="0.25">
      <c r="A92">
        <v>118</v>
      </c>
      <c r="B92" t="s">
        <v>35</v>
      </c>
      <c r="C92" t="s">
        <v>82</v>
      </c>
      <c r="D92" s="1">
        <v>46210</v>
      </c>
      <c r="E92" t="s">
        <v>12</v>
      </c>
      <c r="F92">
        <v>69</v>
      </c>
    </row>
    <row r="93" spans="1:10" x14ac:dyDescent="0.25">
      <c r="A93">
        <v>117</v>
      </c>
      <c r="B93" t="s">
        <v>35</v>
      </c>
      <c r="C93" t="s">
        <v>82</v>
      </c>
      <c r="D93" s="1">
        <v>46209</v>
      </c>
      <c r="E93" t="s">
        <v>12</v>
      </c>
      <c r="F93">
        <v>9</v>
      </c>
    </row>
    <row r="94" spans="1:10" x14ac:dyDescent="0.25">
      <c r="A94">
        <v>116</v>
      </c>
      <c r="B94" t="s">
        <v>35</v>
      </c>
      <c r="C94" t="s">
        <v>82</v>
      </c>
      <c r="D94" s="1">
        <v>46209</v>
      </c>
      <c r="E94" t="s">
        <v>12</v>
      </c>
      <c r="F94">
        <v>9</v>
      </c>
    </row>
    <row r="95" spans="1:10" x14ac:dyDescent="0.25">
      <c r="A95">
        <v>115</v>
      </c>
      <c r="B95" t="s">
        <v>34</v>
      </c>
      <c r="C95" t="s">
        <v>65</v>
      </c>
      <c r="D95" s="1">
        <v>46209</v>
      </c>
      <c r="E95" t="s">
        <v>12</v>
      </c>
      <c r="F95">
        <v>23.75</v>
      </c>
    </row>
    <row r="96" spans="1:10" x14ac:dyDescent="0.25">
      <c r="A96">
        <v>114</v>
      </c>
      <c r="B96" t="s">
        <v>34</v>
      </c>
      <c r="C96" t="s">
        <v>62</v>
      </c>
      <c r="D96" s="1">
        <v>46206</v>
      </c>
      <c r="E96" t="s">
        <v>13</v>
      </c>
      <c r="H96">
        <v>1</v>
      </c>
    </row>
    <row r="97" spans="1:12" x14ac:dyDescent="0.25">
      <c r="A97">
        <v>113</v>
      </c>
      <c r="B97" t="s">
        <v>34</v>
      </c>
      <c r="C97" t="s">
        <v>66</v>
      </c>
      <c r="D97" s="1">
        <v>46206</v>
      </c>
      <c r="E97" t="s">
        <v>13</v>
      </c>
      <c r="H97">
        <v>1</v>
      </c>
    </row>
    <row r="98" spans="1:12" x14ac:dyDescent="0.25">
      <c r="A98">
        <v>112</v>
      </c>
      <c r="B98" t="s">
        <v>34</v>
      </c>
      <c r="C98" t="s">
        <v>67</v>
      </c>
      <c r="D98" s="1">
        <v>46206</v>
      </c>
      <c r="E98" t="s">
        <v>13</v>
      </c>
      <c r="H98">
        <v>1</v>
      </c>
    </row>
    <row r="99" spans="1:12" x14ac:dyDescent="0.25">
      <c r="A99">
        <v>111</v>
      </c>
      <c r="B99" t="s">
        <v>36</v>
      </c>
      <c r="C99" t="s">
        <v>81</v>
      </c>
      <c r="D99" s="1">
        <v>46205</v>
      </c>
      <c r="E99" t="s">
        <v>12</v>
      </c>
      <c r="F99">
        <v>10</v>
      </c>
      <c r="J99" t="s">
        <v>16</v>
      </c>
    </row>
    <row r="100" spans="1:12" x14ac:dyDescent="0.25">
      <c r="A100">
        <v>110</v>
      </c>
      <c r="B100" t="s">
        <v>34</v>
      </c>
      <c r="C100" t="s">
        <v>55</v>
      </c>
      <c r="D100" s="1">
        <v>46205</v>
      </c>
      <c r="E100" t="s">
        <v>12</v>
      </c>
      <c r="F100">
        <v>4.4000000000000004</v>
      </c>
    </row>
    <row r="101" spans="1:12" x14ac:dyDescent="0.25">
      <c r="A101">
        <v>109</v>
      </c>
      <c r="B101" t="s">
        <v>34</v>
      </c>
      <c r="C101" t="s">
        <v>58</v>
      </c>
      <c r="D101" s="1">
        <v>46205</v>
      </c>
      <c r="E101" t="s">
        <v>12</v>
      </c>
      <c r="F101">
        <v>2.6</v>
      </c>
    </row>
    <row r="102" spans="1:12" x14ac:dyDescent="0.25">
      <c r="A102">
        <v>108</v>
      </c>
      <c r="B102" t="s">
        <v>36</v>
      </c>
      <c r="C102" t="s">
        <v>81</v>
      </c>
      <c r="D102" s="1">
        <v>46205</v>
      </c>
      <c r="E102" t="s">
        <v>12</v>
      </c>
      <c r="F102">
        <v>14</v>
      </c>
    </row>
    <row r="103" spans="1:12" x14ac:dyDescent="0.25">
      <c r="A103">
        <v>107</v>
      </c>
      <c r="B103" t="s">
        <v>41</v>
      </c>
      <c r="C103" t="s">
        <v>80</v>
      </c>
      <c r="D103" s="1">
        <v>46205</v>
      </c>
      <c r="E103" t="s">
        <v>12</v>
      </c>
      <c r="F103">
        <v>4.5999999999999996</v>
      </c>
    </row>
    <row r="104" spans="1:12" x14ac:dyDescent="0.25">
      <c r="A104">
        <v>106</v>
      </c>
      <c r="B104" t="s">
        <v>44</v>
      </c>
      <c r="C104" t="s">
        <v>80</v>
      </c>
      <c r="D104" s="1">
        <v>46205</v>
      </c>
      <c r="E104" t="s">
        <v>12</v>
      </c>
      <c r="F104">
        <v>6</v>
      </c>
    </row>
    <row r="105" spans="1:12" x14ac:dyDescent="0.25">
      <c r="A105">
        <v>105</v>
      </c>
      <c r="B105" t="s">
        <v>38</v>
      </c>
      <c r="C105" t="s">
        <v>80</v>
      </c>
      <c r="D105" s="1">
        <v>46205</v>
      </c>
      <c r="E105" t="s">
        <v>12</v>
      </c>
      <c r="F105">
        <v>7</v>
      </c>
    </row>
    <row r="106" spans="1:12" x14ac:dyDescent="0.25">
      <c r="A106">
        <v>104</v>
      </c>
      <c r="B106" t="s">
        <v>35</v>
      </c>
      <c r="C106" t="s">
        <v>82</v>
      </c>
      <c r="D106" s="1">
        <v>46205</v>
      </c>
      <c r="E106" t="s">
        <v>12</v>
      </c>
      <c r="F106">
        <v>23</v>
      </c>
    </row>
    <row r="107" spans="1:12" x14ac:dyDescent="0.25">
      <c r="A107">
        <v>103</v>
      </c>
      <c r="B107" t="s">
        <v>43</v>
      </c>
      <c r="C107" t="s">
        <v>64</v>
      </c>
      <c r="D107" s="1">
        <v>46205</v>
      </c>
      <c r="E107" t="s">
        <v>12</v>
      </c>
      <c r="F107">
        <v>90</v>
      </c>
    </row>
    <row r="108" spans="1:12" x14ac:dyDescent="0.25">
      <c r="A108">
        <v>102</v>
      </c>
      <c r="B108" t="s">
        <v>36</v>
      </c>
      <c r="C108" t="s">
        <v>81</v>
      </c>
      <c r="D108" s="1">
        <v>46203</v>
      </c>
      <c r="E108" t="s">
        <v>12</v>
      </c>
      <c r="F108">
        <v>10</v>
      </c>
    </row>
    <row r="109" spans="1:12" x14ac:dyDescent="0.25">
      <c r="A109">
        <v>101</v>
      </c>
      <c r="B109" t="s">
        <v>37</v>
      </c>
      <c r="C109" t="s">
        <v>56</v>
      </c>
      <c r="D109" s="1">
        <v>46203</v>
      </c>
      <c r="E109" t="s">
        <v>12</v>
      </c>
      <c r="F109">
        <v>70</v>
      </c>
    </row>
    <row r="110" spans="1:12" x14ac:dyDescent="0.25">
      <c r="A110">
        <v>100</v>
      </c>
      <c r="B110" t="s">
        <v>37</v>
      </c>
      <c r="C110" t="s">
        <v>56</v>
      </c>
      <c r="D110" s="1">
        <v>46203</v>
      </c>
      <c r="E110" t="s">
        <v>12</v>
      </c>
      <c r="F110">
        <v>13</v>
      </c>
      <c r="J110" t="s">
        <v>16</v>
      </c>
    </row>
    <row r="111" spans="1:12" x14ac:dyDescent="0.25">
      <c r="A111">
        <v>99</v>
      </c>
      <c r="B111" t="s">
        <v>43</v>
      </c>
      <c r="C111" t="s">
        <v>64</v>
      </c>
      <c r="D111" s="1">
        <v>46203</v>
      </c>
      <c r="E111" t="s">
        <v>17</v>
      </c>
      <c r="H111">
        <v>2</v>
      </c>
      <c r="J111" t="s">
        <v>15</v>
      </c>
      <c r="L111" t="s">
        <v>18</v>
      </c>
    </row>
    <row r="112" spans="1:12" x14ac:dyDescent="0.25">
      <c r="A112">
        <v>98</v>
      </c>
      <c r="B112" t="s">
        <v>36</v>
      </c>
      <c r="C112" t="s">
        <v>81</v>
      </c>
      <c r="D112" s="1">
        <v>46203</v>
      </c>
      <c r="E112" t="s">
        <v>17</v>
      </c>
      <c r="H112">
        <v>1</v>
      </c>
      <c r="J112" t="s">
        <v>15</v>
      </c>
      <c r="L112" t="s">
        <v>18</v>
      </c>
    </row>
    <row r="113" spans="1:12" x14ac:dyDescent="0.25">
      <c r="A113">
        <v>97</v>
      </c>
      <c r="B113" t="s">
        <v>37</v>
      </c>
      <c r="C113" t="s">
        <v>56</v>
      </c>
      <c r="D113" s="1">
        <v>46203</v>
      </c>
      <c r="E113" t="s">
        <v>17</v>
      </c>
      <c r="H113">
        <v>7</v>
      </c>
      <c r="J113" t="s">
        <v>15</v>
      </c>
      <c r="L113" t="s">
        <v>18</v>
      </c>
    </row>
    <row r="114" spans="1:12" x14ac:dyDescent="0.25">
      <c r="A114">
        <v>96</v>
      </c>
      <c r="B114" t="s">
        <v>35</v>
      </c>
      <c r="C114" t="s">
        <v>82</v>
      </c>
      <c r="D114" s="1">
        <v>46204</v>
      </c>
      <c r="E114" t="s">
        <v>12</v>
      </c>
      <c r="F114">
        <v>42.15</v>
      </c>
    </row>
    <row r="115" spans="1:12" x14ac:dyDescent="0.25">
      <c r="A115">
        <v>95</v>
      </c>
      <c r="B115" t="s">
        <v>39</v>
      </c>
      <c r="C115" t="s">
        <v>57</v>
      </c>
      <c r="D115" s="1">
        <v>46204</v>
      </c>
      <c r="E115" t="s">
        <v>12</v>
      </c>
      <c r="F115">
        <v>4</v>
      </c>
    </row>
    <row r="116" spans="1:12" x14ac:dyDescent="0.25">
      <c r="A116">
        <v>94</v>
      </c>
      <c r="B116" t="s">
        <v>43</v>
      </c>
      <c r="C116" t="s">
        <v>64</v>
      </c>
      <c r="D116" s="1">
        <v>46203</v>
      </c>
      <c r="E116" t="s">
        <v>12</v>
      </c>
      <c r="F116">
        <v>25.5</v>
      </c>
      <c r="J116" t="s">
        <v>19</v>
      </c>
      <c r="L116" t="s">
        <v>20</v>
      </c>
    </row>
    <row r="117" spans="1:12" x14ac:dyDescent="0.25">
      <c r="A117">
        <v>93</v>
      </c>
      <c r="B117" t="s">
        <v>36</v>
      </c>
      <c r="C117" t="s">
        <v>81</v>
      </c>
      <c r="D117" s="1">
        <v>46203</v>
      </c>
      <c r="E117" t="s">
        <v>12</v>
      </c>
      <c r="F117">
        <v>7.5</v>
      </c>
      <c r="J117" t="s">
        <v>19</v>
      </c>
      <c r="L117" t="s">
        <v>20</v>
      </c>
    </row>
    <row r="118" spans="1:12" x14ac:dyDescent="0.25">
      <c r="A118">
        <v>92</v>
      </c>
      <c r="B118" t="s">
        <v>37</v>
      </c>
      <c r="C118" t="s">
        <v>56</v>
      </c>
      <c r="D118" s="1">
        <v>46203</v>
      </c>
      <c r="E118" t="s">
        <v>12</v>
      </c>
      <c r="F118">
        <v>7.5</v>
      </c>
      <c r="I118">
        <v>1</v>
      </c>
      <c r="J118" t="s">
        <v>19</v>
      </c>
      <c r="L118" t="s">
        <v>20</v>
      </c>
    </row>
    <row r="119" spans="1:12" x14ac:dyDescent="0.25">
      <c r="A119">
        <v>91</v>
      </c>
      <c r="B119" t="s">
        <v>43</v>
      </c>
      <c r="C119" t="s">
        <v>64</v>
      </c>
      <c r="D119" s="1">
        <v>46203</v>
      </c>
      <c r="E119" t="s">
        <v>17</v>
      </c>
      <c r="I119">
        <v>4</v>
      </c>
      <c r="J119" t="s">
        <v>21</v>
      </c>
    </row>
    <row r="120" spans="1:12" x14ac:dyDescent="0.25">
      <c r="A120">
        <v>90</v>
      </c>
      <c r="B120" t="s">
        <v>35</v>
      </c>
      <c r="C120" t="s">
        <v>82</v>
      </c>
      <c r="D120" s="1">
        <v>46202</v>
      </c>
      <c r="E120" t="s">
        <v>12</v>
      </c>
      <c r="F120">
        <v>25.45</v>
      </c>
    </row>
    <row r="121" spans="1:12" x14ac:dyDescent="0.25">
      <c r="A121">
        <v>89</v>
      </c>
      <c r="B121" t="s">
        <v>35</v>
      </c>
      <c r="C121" t="s">
        <v>82</v>
      </c>
      <c r="D121" s="1">
        <v>46199</v>
      </c>
      <c r="E121" t="s">
        <v>12</v>
      </c>
      <c r="F121">
        <v>21.3</v>
      </c>
    </row>
    <row r="122" spans="1:12" x14ac:dyDescent="0.25">
      <c r="A122">
        <v>88</v>
      </c>
      <c r="B122" t="s">
        <v>36</v>
      </c>
      <c r="C122" t="s">
        <v>81</v>
      </c>
      <c r="D122" s="1">
        <v>46199</v>
      </c>
      <c r="E122" t="s">
        <v>17</v>
      </c>
      <c r="I122">
        <v>1</v>
      </c>
      <c r="J122" t="s">
        <v>21</v>
      </c>
    </row>
    <row r="123" spans="1:12" x14ac:dyDescent="0.25">
      <c r="A123">
        <v>87</v>
      </c>
      <c r="B123" t="s">
        <v>37</v>
      </c>
      <c r="C123" t="s">
        <v>68</v>
      </c>
      <c r="D123" s="1">
        <v>46199</v>
      </c>
      <c r="E123" t="s">
        <v>17</v>
      </c>
      <c r="I123">
        <v>1</v>
      </c>
      <c r="J123" t="s">
        <v>21</v>
      </c>
    </row>
    <row r="124" spans="1:12" x14ac:dyDescent="0.25">
      <c r="A124">
        <v>86</v>
      </c>
      <c r="B124" t="s">
        <v>43</v>
      </c>
      <c r="C124" t="s">
        <v>64</v>
      </c>
      <c r="D124" s="1">
        <v>46199</v>
      </c>
      <c r="E124" t="s">
        <v>17</v>
      </c>
      <c r="I124">
        <v>1</v>
      </c>
      <c r="J124" t="s">
        <v>21</v>
      </c>
    </row>
    <row r="125" spans="1:12" x14ac:dyDescent="0.25">
      <c r="A125">
        <v>85</v>
      </c>
      <c r="B125" t="s">
        <v>39</v>
      </c>
      <c r="C125" t="s">
        <v>57</v>
      </c>
      <c r="D125" s="1">
        <v>46199</v>
      </c>
      <c r="E125" t="s">
        <v>12</v>
      </c>
      <c r="F125">
        <v>1.3</v>
      </c>
    </row>
    <row r="126" spans="1:12" x14ac:dyDescent="0.25">
      <c r="A126">
        <v>84</v>
      </c>
      <c r="B126" t="s">
        <v>39</v>
      </c>
      <c r="C126" t="s">
        <v>69</v>
      </c>
      <c r="D126" s="1">
        <v>46199</v>
      </c>
      <c r="E126" t="s">
        <v>12</v>
      </c>
      <c r="F126">
        <v>1.3</v>
      </c>
    </row>
    <row r="127" spans="1:12" x14ac:dyDescent="0.25">
      <c r="A127">
        <v>83</v>
      </c>
      <c r="B127" t="s">
        <v>34</v>
      </c>
      <c r="C127" t="s">
        <v>59</v>
      </c>
      <c r="D127" s="1">
        <v>46198</v>
      </c>
      <c r="E127" t="s">
        <v>12</v>
      </c>
      <c r="F127">
        <v>4.7</v>
      </c>
    </row>
    <row r="128" spans="1:12" x14ac:dyDescent="0.25">
      <c r="A128">
        <v>82</v>
      </c>
      <c r="B128" t="s">
        <v>37</v>
      </c>
      <c r="C128" t="s">
        <v>56</v>
      </c>
      <c r="D128" s="1">
        <v>46198</v>
      </c>
      <c r="E128" t="s">
        <v>12</v>
      </c>
      <c r="F128">
        <v>23.35</v>
      </c>
    </row>
    <row r="129" spans="1:6" x14ac:dyDescent="0.25">
      <c r="A129">
        <v>81</v>
      </c>
      <c r="B129" t="s">
        <v>34</v>
      </c>
      <c r="C129" t="s">
        <v>55</v>
      </c>
      <c r="D129" s="1">
        <v>46198</v>
      </c>
      <c r="E129" t="s">
        <v>12</v>
      </c>
      <c r="F129">
        <v>3</v>
      </c>
    </row>
    <row r="130" spans="1:6" x14ac:dyDescent="0.25">
      <c r="A130">
        <v>80</v>
      </c>
      <c r="B130" t="s">
        <v>37</v>
      </c>
      <c r="C130" t="s">
        <v>56</v>
      </c>
      <c r="D130" s="1">
        <v>46197</v>
      </c>
      <c r="E130" t="s">
        <v>12</v>
      </c>
      <c r="F130">
        <v>50.4</v>
      </c>
    </row>
    <row r="131" spans="1:6" x14ac:dyDescent="0.25">
      <c r="A131">
        <v>79</v>
      </c>
      <c r="B131" t="s">
        <v>43</v>
      </c>
      <c r="C131" t="s">
        <v>70</v>
      </c>
      <c r="D131" s="1">
        <v>46197</v>
      </c>
      <c r="E131" t="s">
        <v>12</v>
      </c>
      <c r="F131">
        <v>32.9</v>
      </c>
    </row>
    <row r="132" spans="1:6" x14ac:dyDescent="0.25">
      <c r="A132">
        <v>78</v>
      </c>
      <c r="B132" t="s">
        <v>36</v>
      </c>
      <c r="C132" t="s">
        <v>81</v>
      </c>
      <c r="D132" s="1">
        <v>46197</v>
      </c>
      <c r="E132" t="s">
        <v>12</v>
      </c>
      <c r="F132">
        <v>44.35</v>
      </c>
    </row>
    <row r="133" spans="1:6" x14ac:dyDescent="0.25">
      <c r="A133">
        <v>77</v>
      </c>
      <c r="B133" t="s">
        <v>34</v>
      </c>
      <c r="C133" t="s">
        <v>71</v>
      </c>
      <c r="D133" s="1">
        <v>46197</v>
      </c>
      <c r="E133" t="s">
        <v>12</v>
      </c>
      <c r="F133">
        <v>0.35</v>
      </c>
    </row>
    <row r="134" spans="1:6" x14ac:dyDescent="0.25">
      <c r="A134">
        <v>76</v>
      </c>
      <c r="B134" t="s">
        <v>34</v>
      </c>
      <c r="C134" t="s">
        <v>55</v>
      </c>
      <c r="D134" s="1">
        <v>46197</v>
      </c>
      <c r="E134" t="s">
        <v>12</v>
      </c>
      <c r="F134">
        <v>3.5</v>
      </c>
    </row>
    <row r="135" spans="1:6" x14ac:dyDescent="0.25">
      <c r="A135">
        <v>75</v>
      </c>
      <c r="B135" t="s">
        <v>34</v>
      </c>
      <c r="C135" t="s">
        <v>58</v>
      </c>
      <c r="D135" s="1">
        <v>46197</v>
      </c>
      <c r="E135" t="s">
        <v>12</v>
      </c>
      <c r="F135">
        <v>1.3</v>
      </c>
    </row>
    <row r="136" spans="1:6" x14ac:dyDescent="0.25">
      <c r="A136">
        <v>74</v>
      </c>
      <c r="B136" t="s">
        <v>45</v>
      </c>
      <c r="C136" t="s">
        <v>80</v>
      </c>
      <c r="D136" s="1">
        <v>46197</v>
      </c>
      <c r="E136" t="s">
        <v>12</v>
      </c>
      <c r="F136">
        <v>3.5</v>
      </c>
    </row>
    <row r="137" spans="1:6" x14ac:dyDescent="0.25">
      <c r="A137">
        <v>73</v>
      </c>
      <c r="B137" t="s">
        <v>36</v>
      </c>
      <c r="C137" t="s">
        <v>81</v>
      </c>
      <c r="D137" s="1">
        <v>46197</v>
      </c>
      <c r="E137" t="s">
        <v>12</v>
      </c>
      <c r="F137">
        <v>24.85</v>
      </c>
    </row>
    <row r="138" spans="1:6" x14ac:dyDescent="0.25">
      <c r="A138">
        <v>72</v>
      </c>
      <c r="B138" t="s">
        <v>39</v>
      </c>
      <c r="C138" t="s">
        <v>69</v>
      </c>
      <c r="D138" s="1">
        <v>46195</v>
      </c>
      <c r="E138" t="s">
        <v>12</v>
      </c>
      <c r="F138">
        <v>3.6</v>
      </c>
    </row>
    <row r="139" spans="1:6" x14ac:dyDescent="0.25">
      <c r="A139">
        <v>71</v>
      </c>
      <c r="B139" t="s">
        <v>39</v>
      </c>
      <c r="C139" t="s">
        <v>57</v>
      </c>
      <c r="D139" s="1">
        <v>46195</v>
      </c>
      <c r="E139" t="s">
        <v>12</v>
      </c>
      <c r="F139">
        <v>3.6</v>
      </c>
    </row>
    <row r="140" spans="1:6" x14ac:dyDescent="0.25">
      <c r="A140">
        <v>70</v>
      </c>
      <c r="B140" t="s">
        <v>39</v>
      </c>
      <c r="C140" t="s">
        <v>57</v>
      </c>
      <c r="D140" s="1">
        <v>46190</v>
      </c>
      <c r="E140" t="s">
        <v>12</v>
      </c>
      <c r="F140">
        <v>4.1500000000000004</v>
      </c>
    </row>
    <row r="141" spans="1:6" x14ac:dyDescent="0.25">
      <c r="A141">
        <v>69</v>
      </c>
      <c r="B141" t="s">
        <v>39</v>
      </c>
      <c r="C141" t="s">
        <v>69</v>
      </c>
      <c r="D141" s="1">
        <v>46190</v>
      </c>
      <c r="E141" t="s">
        <v>12</v>
      </c>
      <c r="F141">
        <v>3</v>
      </c>
    </row>
    <row r="142" spans="1:6" x14ac:dyDescent="0.25">
      <c r="A142">
        <v>68</v>
      </c>
      <c r="B142" t="s">
        <v>37</v>
      </c>
      <c r="C142" t="s">
        <v>56</v>
      </c>
      <c r="D142" s="1">
        <v>46190</v>
      </c>
      <c r="E142" t="s">
        <v>12</v>
      </c>
      <c r="F142">
        <v>9.5</v>
      </c>
    </row>
    <row r="143" spans="1:6" x14ac:dyDescent="0.25">
      <c r="A143">
        <v>67</v>
      </c>
      <c r="B143" t="s">
        <v>36</v>
      </c>
      <c r="C143" t="s">
        <v>72</v>
      </c>
      <c r="D143" s="1">
        <v>46190</v>
      </c>
      <c r="E143" t="s">
        <v>12</v>
      </c>
      <c r="F143">
        <v>7</v>
      </c>
    </row>
    <row r="144" spans="1:6" x14ac:dyDescent="0.25">
      <c r="A144">
        <v>66</v>
      </c>
      <c r="B144" t="s">
        <v>43</v>
      </c>
      <c r="C144" t="s">
        <v>70</v>
      </c>
      <c r="D144" s="1">
        <v>46190</v>
      </c>
      <c r="E144" t="s">
        <v>12</v>
      </c>
      <c r="F144">
        <v>7.4</v>
      </c>
    </row>
    <row r="145" spans="1:12" x14ac:dyDescent="0.25">
      <c r="A145">
        <v>65</v>
      </c>
      <c r="B145" t="s">
        <v>46</v>
      </c>
      <c r="C145" t="s">
        <v>46</v>
      </c>
      <c r="D145" s="1">
        <v>46189</v>
      </c>
      <c r="E145" t="s">
        <v>12</v>
      </c>
      <c r="F145">
        <v>4.875</v>
      </c>
      <c r="L145" t="s">
        <v>22</v>
      </c>
    </row>
    <row r="146" spans="1:12" x14ac:dyDescent="0.25">
      <c r="A146">
        <v>64</v>
      </c>
      <c r="B146" t="s">
        <v>47</v>
      </c>
      <c r="C146" t="s">
        <v>47</v>
      </c>
      <c r="D146" s="1">
        <v>46189</v>
      </c>
      <c r="E146" t="s">
        <v>12</v>
      </c>
      <c r="F146">
        <v>4.875</v>
      </c>
      <c r="L146" t="s">
        <v>22</v>
      </c>
    </row>
    <row r="147" spans="1:12" x14ac:dyDescent="0.25">
      <c r="A147">
        <v>63</v>
      </c>
      <c r="B147" t="s">
        <v>39</v>
      </c>
      <c r="C147" t="s">
        <v>57</v>
      </c>
      <c r="D147" s="1">
        <v>46188</v>
      </c>
      <c r="E147" t="s">
        <v>12</v>
      </c>
      <c r="F147">
        <v>9.5</v>
      </c>
    </row>
    <row r="148" spans="1:12" x14ac:dyDescent="0.25">
      <c r="A148">
        <v>62</v>
      </c>
      <c r="B148" t="s">
        <v>39</v>
      </c>
      <c r="C148" t="s">
        <v>69</v>
      </c>
      <c r="D148" s="1">
        <v>46188</v>
      </c>
      <c r="E148" t="s">
        <v>12</v>
      </c>
      <c r="F148">
        <v>4.8</v>
      </c>
    </row>
    <row r="149" spans="1:12" x14ac:dyDescent="0.25">
      <c r="A149">
        <v>61</v>
      </c>
      <c r="B149" t="s">
        <v>48</v>
      </c>
      <c r="C149" t="s">
        <v>48</v>
      </c>
      <c r="D149" s="1">
        <v>46187</v>
      </c>
      <c r="E149" t="s">
        <v>12</v>
      </c>
      <c r="F149">
        <v>15</v>
      </c>
      <c r="L149" t="s">
        <v>23</v>
      </c>
    </row>
    <row r="150" spans="1:12" x14ac:dyDescent="0.25">
      <c r="A150">
        <v>60</v>
      </c>
      <c r="B150" t="s">
        <v>46</v>
      </c>
      <c r="C150" t="s">
        <v>46</v>
      </c>
      <c r="D150" s="1">
        <v>46185</v>
      </c>
      <c r="E150" t="s">
        <v>12</v>
      </c>
      <c r="F150">
        <v>11</v>
      </c>
      <c r="L150" t="s">
        <v>24</v>
      </c>
    </row>
    <row r="151" spans="1:12" x14ac:dyDescent="0.25">
      <c r="A151">
        <v>59</v>
      </c>
      <c r="B151" t="s">
        <v>47</v>
      </c>
      <c r="C151" t="s">
        <v>47</v>
      </c>
      <c r="D151" s="1">
        <v>46185</v>
      </c>
      <c r="E151" t="s">
        <v>12</v>
      </c>
      <c r="F151">
        <v>2</v>
      </c>
      <c r="L151" t="s">
        <v>25</v>
      </c>
    </row>
    <row r="152" spans="1:12" x14ac:dyDescent="0.25">
      <c r="A152">
        <v>58</v>
      </c>
      <c r="B152" t="s">
        <v>36</v>
      </c>
      <c r="C152" t="s">
        <v>73</v>
      </c>
      <c r="D152" s="1">
        <v>46185</v>
      </c>
      <c r="E152" t="s">
        <v>12</v>
      </c>
      <c r="F152">
        <v>8.5</v>
      </c>
    </row>
    <row r="153" spans="1:12" x14ac:dyDescent="0.25">
      <c r="A153">
        <v>57</v>
      </c>
      <c r="B153" t="s">
        <v>36</v>
      </c>
      <c r="C153" t="s">
        <v>73</v>
      </c>
      <c r="D153" s="1">
        <v>46185</v>
      </c>
      <c r="E153" t="s">
        <v>12</v>
      </c>
      <c r="F153">
        <v>9.6</v>
      </c>
    </row>
    <row r="154" spans="1:12" x14ac:dyDescent="0.25">
      <c r="A154">
        <v>56</v>
      </c>
      <c r="B154" t="s">
        <v>49</v>
      </c>
      <c r="C154" t="s">
        <v>74</v>
      </c>
      <c r="D154" s="1">
        <v>46185</v>
      </c>
      <c r="E154" t="s">
        <v>12</v>
      </c>
      <c r="F154">
        <v>12.65</v>
      </c>
    </row>
    <row r="155" spans="1:12" x14ac:dyDescent="0.25">
      <c r="A155">
        <v>55</v>
      </c>
      <c r="B155" t="s">
        <v>39</v>
      </c>
      <c r="C155" t="s">
        <v>57</v>
      </c>
      <c r="D155" s="1">
        <v>46185</v>
      </c>
      <c r="E155" t="s">
        <v>12</v>
      </c>
      <c r="F155">
        <v>12.2</v>
      </c>
    </row>
    <row r="156" spans="1:12" x14ac:dyDescent="0.25">
      <c r="A156">
        <v>54</v>
      </c>
      <c r="B156" t="s">
        <v>39</v>
      </c>
      <c r="C156" t="s">
        <v>69</v>
      </c>
      <c r="D156" s="1">
        <v>46185</v>
      </c>
      <c r="E156" t="s">
        <v>12</v>
      </c>
      <c r="F156">
        <v>3</v>
      </c>
    </row>
    <row r="157" spans="1:12" x14ac:dyDescent="0.25">
      <c r="A157">
        <v>53</v>
      </c>
      <c r="B157" t="s">
        <v>37</v>
      </c>
      <c r="C157" t="s">
        <v>56</v>
      </c>
      <c r="D157" s="1">
        <v>46185</v>
      </c>
      <c r="E157" t="s">
        <v>12</v>
      </c>
      <c r="F157">
        <v>16</v>
      </c>
    </row>
    <row r="158" spans="1:12" x14ac:dyDescent="0.25">
      <c r="A158">
        <v>52</v>
      </c>
      <c r="B158" t="s">
        <v>34</v>
      </c>
      <c r="C158" t="s">
        <v>55</v>
      </c>
      <c r="D158" s="1">
        <v>46185</v>
      </c>
      <c r="E158" t="s">
        <v>12</v>
      </c>
      <c r="F158">
        <v>2.7</v>
      </c>
    </row>
    <row r="159" spans="1:12" x14ac:dyDescent="0.25">
      <c r="A159">
        <v>51</v>
      </c>
      <c r="B159" t="s">
        <v>34</v>
      </c>
      <c r="C159" t="s">
        <v>58</v>
      </c>
      <c r="D159" s="1">
        <v>46185</v>
      </c>
      <c r="E159" t="s">
        <v>12</v>
      </c>
      <c r="F159">
        <v>2</v>
      </c>
    </row>
    <row r="160" spans="1:12" x14ac:dyDescent="0.25">
      <c r="A160">
        <v>50</v>
      </c>
      <c r="B160" t="s">
        <v>34</v>
      </c>
      <c r="C160" t="s">
        <v>62</v>
      </c>
      <c r="D160" s="1">
        <v>46185</v>
      </c>
      <c r="E160" t="s">
        <v>12</v>
      </c>
      <c r="F160">
        <v>1</v>
      </c>
    </row>
    <row r="161" spans="1:12" x14ac:dyDescent="0.25">
      <c r="A161">
        <v>49</v>
      </c>
      <c r="B161" t="s">
        <v>34</v>
      </c>
      <c r="C161" t="s">
        <v>59</v>
      </c>
      <c r="D161" s="1">
        <v>46185</v>
      </c>
      <c r="E161" t="s">
        <v>12</v>
      </c>
      <c r="F161">
        <v>1</v>
      </c>
    </row>
    <row r="162" spans="1:12" x14ac:dyDescent="0.25">
      <c r="A162">
        <v>48</v>
      </c>
      <c r="B162" t="s">
        <v>45</v>
      </c>
      <c r="C162" t="s">
        <v>80</v>
      </c>
      <c r="D162" s="1">
        <v>46185</v>
      </c>
      <c r="E162" t="s">
        <v>12</v>
      </c>
      <c r="F162">
        <v>5.75</v>
      </c>
    </row>
    <row r="163" spans="1:12" x14ac:dyDescent="0.25">
      <c r="A163">
        <v>47</v>
      </c>
      <c r="B163" t="s">
        <v>36</v>
      </c>
      <c r="C163" t="s">
        <v>73</v>
      </c>
      <c r="D163" s="1">
        <v>46183</v>
      </c>
      <c r="E163" t="s">
        <v>12</v>
      </c>
      <c r="F163">
        <v>7.75</v>
      </c>
    </row>
    <row r="164" spans="1:12" x14ac:dyDescent="0.25">
      <c r="A164">
        <v>46</v>
      </c>
      <c r="B164" t="s">
        <v>43</v>
      </c>
      <c r="C164" t="s">
        <v>64</v>
      </c>
      <c r="D164" s="1">
        <v>46183</v>
      </c>
      <c r="E164" t="s">
        <v>12</v>
      </c>
      <c r="F164">
        <v>23</v>
      </c>
      <c r="L164" t="s">
        <v>84</v>
      </c>
    </row>
    <row r="165" spans="1:12" x14ac:dyDescent="0.25">
      <c r="A165">
        <v>45</v>
      </c>
      <c r="B165" t="s">
        <v>45</v>
      </c>
      <c r="C165" t="s">
        <v>80</v>
      </c>
      <c r="D165" s="1">
        <v>46183</v>
      </c>
      <c r="E165" t="s">
        <v>12</v>
      </c>
      <c r="F165">
        <v>7.7</v>
      </c>
    </row>
    <row r="166" spans="1:12" x14ac:dyDescent="0.25">
      <c r="A166">
        <v>44</v>
      </c>
      <c r="B166" t="s">
        <v>37</v>
      </c>
      <c r="C166" t="s">
        <v>56</v>
      </c>
      <c r="D166" s="1">
        <v>46183</v>
      </c>
      <c r="E166" t="s">
        <v>12</v>
      </c>
      <c r="F166">
        <v>8.75</v>
      </c>
    </row>
    <row r="167" spans="1:12" x14ac:dyDescent="0.25">
      <c r="A167">
        <v>43</v>
      </c>
      <c r="B167" t="s">
        <v>39</v>
      </c>
      <c r="C167" t="s">
        <v>57</v>
      </c>
      <c r="D167" s="1">
        <v>46182</v>
      </c>
      <c r="E167" t="s">
        <v>12</v>
      </c>
      <c r="F167">
        <v>8.4</v>
      </c>
    </row>
    <row r="168" spans="1:12" x14ac:dyDescent="0.25">
      <c r="A168">
        <v>42</v>
      </c>
      <c r="B168" t="s">
        <v>39</v>
      </c>
      <c r="C168" t="s">
        <v>69</v>
      </c>
      <c r="D168" s="1">
        <v>46182</v>
      </c>
      <c r="E168" t="s">
        <v>12</v>
      </c>
      <c r="F168">
        <v>1.1000000000000001</v>
      </c>
    </row>
    <row r="169" spans="1:12" x14ac:dyDescent="0.25">
      <c r="A169">
        <v>41</v>
      </c>
      <c r="B169" t="s">
        <v>46</v>
      </c>
      <c r="C169" t="s">
        <v>46</v>
      </c>
      <c r="D169" s="1">
        <v>46179</v>
      </c>
      <c r="E169" t="s">
        <v>12</v>
      </c>
      <c r="F169">
        <v>6</v>
      </c>
      <c r="L169" t="s">
        <v>26</v>
      </c>
    </row>
    <row r="170" spans="1:12" x14ac:dyDescent="0.25">
      <c r="A170">
        <v>40</v>
      </c>
      <c r="B170" t="s">
        <v>46</v>
      </c>
      <c r="C170" t="s">
        <v>46</v>
      </c>
      <c r="D170" s="1">
        <v>46178</v>
      </c>
      <c r="E170" t="s">
        <v>12</v>
      </c>
      <c r="F170">
        <v>6</v>
      </c>
      <c r="L170" t="s">
        <v>27</v>
      </c>
    </row>
    <row r="171" spans="1:12" x14ac:dyDescent="0.25">
      <c r="A171">
        <v>39</v>
      </c>
      <c r="B171" t="s">
        <v>46</v>
      </c>
      <c r="C171" t="s">
        <v>46</v>
      </c>
      <c r="D171" s="1">
        <v>46178</v>
      </c>
      <c r="E171" t="s">
        <v>12</v>
      </c>
      <c r="F171">
        <v>7</v>
      </c>
      <c r="L171" t="s">
        <v>28</v>
      </c>
    </row>
    <row r="172" spans="1:12" x14ac:dyDescent="0.25">
      <c r="A172">
        <v>38</v>
      </c>
      <c r="B172" t="s">
        <v>36</v>
      </c>
      <c r="C172" t="s">
        <v>73</v>
      </c>
      <c r="D172" s="1">
        <v>46178</v>
      </c>
      <c r="E172" t="s">
        <v>12</v>
      </c>
      <c r="F172">
        <v>17</v>
      </c>
    </row>
    <row r="173" spans="1:12" x14ac:dyDescent="0.25">
      <c r="A173">
        <v>37</v>
      </c>
      <c r="B173" t="s">
        <v>49</v>
      </c>
      <c r="C173" t="s">
        <v>74</v>
      </c>
      <c r="D173" s="1">
        <v>46178</v>
      </c>
      <c r="E173" t="s">
        <v>12</v>
      </c>
      <c r="F173">
        <v>23</v>
      </c>
    </row>
    <row r="174" spans="1:12" x14ac:dyDescent="0.25">
      <c r="A174">
        <v>36</v>
      </c>
      <c r="B174" t="s">
        <v>34</v>
      </c>
      <c r="C174" t="s">
        <v>83</v>
      </c>
      <c r="D174" s="1">
        <v>46178</v>
      </c>
      <c r="E174" t="s">
        <v>13</v>
      </c>
      <c r="H174">
        <v>5</v>
      </c>
      <c r="L174" t="s">
        <v>29</v>
      </c>
    </row>
    <row r="175" spans="1:12" x14ac:dyDescent="0.25">
      <c r="A175">
        <v>35</v>
      </c>
      <c r="B175" t="s">
        <v>49</v>
      </c>
      <c r="C175" t="s">
        <v>74</v>
      </c>
      <c r="D175" s="1">
        <v>46178</v>
      </c>
      <c r="E175" t="s">
        <v>13</v>
      </c>
      <c r="H175">
        <v>6</v>
      </c>
      <c r="K175" t="s">
        <v>30</v>
      </c>
    </row>
    <row r="176" spans="1:12" x14ac:dyDescent="0.25">
      <c r="A176">
        <v>34</v>
      </c>
      <c r="B176" t="s">
        <v>34</v>
      </c>
      <c r="C176" t="s">
        <v>75</v>
      </c>
      <c r="D176" s="1">
        <v>46178</v>
      </c>
      <c r="E176" t="s">
        <v>13</v>
      </c>
      <c r="H176">
        <v>4</v>
      </c>
      <c r="K176" t="s">
        <v>30</v>
      </c>
    </row>
    <row r="177" spans="1:11" x14ac:dyDescent="0.25">
      <c r="A177">
        <v>33</v>
      </c>
      <c r="B177" t="s">
        <v>34</v>
      </c>
      <c r="C177" t="s">
        <v>66</v>
      </c>
      <c r="D177" s="1">
        <v>46178</v>
      </c>
      <c r="E177" t="s">
        <v>13</v>
      </c>
      <c r="H177">
        <v>3</v>
      </c>
      <c r="K177" t="s">
        <v>30</v>
      </c>
    </row>
    <row r="178" spans="1:11" x14ac:dyDescent="0.25">
      <c r="A178">
        <v>32</v>
      </c>
      <c r="B178" t="s">
        <v>34</v>
      </c>
      <c r="C178" t="s">
        <v>63</v>
      </c>
      <c r="D178" s="1">
        <v>46178</v>
      </c>
      <c r="E178" t="s">
        <v>13</v>
      </c>
      <c r="H178">
        <v>4</v>
      </c>
      <c r="K178" t="s">
        <v>30</v>
      </c>
    </row>
    <row r="179" spans="1:11" x14ac:dyDescent="0.25">
      <c r="A179">
        <v>31</v>
      </c>
      <c r="B179" t="s">
        <v>50</v>
      </c>
      <c r="C179" t="s">
        <v>50</v>
      </c>
      <c r="D179" s="1">
        <v>46177</v>
      </c>
      <c r="E179" t="s">
        <v>12</v>
      </c>
      <c r="F179">
        <v>1</v>
      </c>
    </row>
    <row r="180" spans="1:11" x14ac:dyDescent="0.25">
      <c r="A180">
        <v>30</v>
      </c>
      <c r="B180" t="s">
        <v>50</v>
      </c>
      <c r="C180" t="s">
        <v>50</v>
      </c>
      <c r="D180" s="1">
        <v>46176</v>
      </c>
      <c r="E180" t="s">
        <v>12</v>
      </c>
      <c r="F180">
        <v>3</v>
      </c>
    </row>
    <row r="181" spans="1:11" x14ac:dyDescent="0.25">
      <c r="A181">
        <v>29</v>
      </c>
      <c r="B181" t="s">
        <v>50</v>
      </c>
      <c r="C181" t="s">
        <v>50</v>
      </c>
      <c r="D181" s="1">
        <v>46169</v>
      </c>
      <c r="E181" t="s">
        <v>12</v>
      </c>
      <c r="F181">
        <v>9.5</v>
      </c>
    </row>
    <row r="182" spans="1:11" x14ac:dyDescent="0.25">
      <c r="A182">
        <v>28</v>
      </c>
      <c r="B182" t="s">
        <v>34</v>
      </c>
      <c r="C182" t="s">
        <v>65</v>
      </c>
      <c r="D182" s="1">
        <v>46169</v>
      </c>
      <c r="E182" t="s">
        <v>12</v>
      </c>
      <c r="F182">
        <v>9.5</v>
      </c>
    </row>
    <row r="183" spans="1:11" x14ac:dyDescent="0.25">
      <c r="A183">
        <v>27</v>
      </c>
      <c r="B183" t="s">
        <v>51</v>
      </c>
      <c r="C183" t="s">
        <v>51</v>
      </c>
      <c r="D183" s="1">
        <v>46169</v>
      </c>
      <c r="E183" t="s">
        <v>12</v>
      </c>
      <c r="F183">
        <v>13.5</v>
      </c>
    </row>
    <row r="184" spans="1:11" x14ac:dyDescent="0.25">
      <c r="A184">
        <v>26</v>
      </c>
      <c r="B184" t="s">
        <v>37</v>
      </c>
      <c r="C184" t="s">
        <v>56</v>
      </c>
      <c r="D184" s="1">
        <v>46161</v>
      </c>
      <c r="E184" t="s">
        <v>12</v>
      </c>
      <c r="F184">
        <v>2.9249999999999998</v>
      </c>
    </row>
    <row r="185" spans="1:11" x14ac:dyDescent="0.25">
      <c r="A185">
        <v>25</v>
      </c>
      <c r="B185" t="s">
        <v>36</v>
      </c>
      <c r="C185" t="s">
        <v>81</v>
      </c>
      <c r="D185" s="1">
        <v>46161</v>
      </c>
      <c r="E185" t="s">
        <v>12</v>
      </c>
      <c r="F185">
        <v>2.9249999999999998</v>
      </c>
    </row>
    <row r="186" spans="1:11" x14ac:dyDescent="0.25">
      <c r="A186">
        <v>24</v>
      </c>
      <c r="B186" t="s">
        <v>50</v>
      </c>
      <c r="C186" t="s">
        <v>50</v>
      </c>
      <c r="D186" s="1">
        <v>46158</v>
      </c>
      <c r="E186" t="s">
        <v>12</v>
      </c>
      <c r="F186">
        <v>2</v>
      </c>
    </row>
    <row r="187" spans="1:11" x14ac:dyDescent="0.25">
      <c r="A187">
        <v>23</v>
      </c>
      <c r="B187" t="s">
        <v>50</v>
      </c>
      <c r="C187" t="s">
        <v>50</v>
      </c>
      <c r="D187" s="1">
        <v>46158</v>
      </c>
      <c r="E187" t="s">
        <v>12</v>
      </c>
      <c r="F187">
        <v>2</v>
      </c>
    </row>
    <row r="188" spans="1:11" x14ac:dyDescent="0.25">
      <c r="A188">
        <v>22</v>
      </c>
      <c r="B188" t="s">
        <v>50</v>
      </c>
      <c r="C188" t="s">
        <v>50</v>
      </c>
      <c r="D188" s="1">
        <v>46155</v>
      </c>
      <c r="E188" t="s">
        <v>12</v>
      </c>
      <c r="F188">
        <v>6</v>
      </c>
    </row>
    <row r="189" spans="1:11" x14ac:dyDescent="0.25">
      <c r="A189">
        <v>21</v>
      </c>
      <c r="B189" t="s">
        <v>51</v>
      </c>
      <c r="C189" t="s">
        <v>51</v>
      </c>
      <c r="D189" s="1">
        <v>46155</v>
      </c>
      <c r="E189" t="s">
        <v>12</v>
      </c>
      <c r="F189">
        <v>10</v>
      </c>
    </row>
    <row r="190" spans="1:11" x14ac:dyDescent="0.25">
      <c r="A190">
        <v>20</v>
      </c>
      <c r="B190" t="s">
        <v>34</v>
      </c>
      <c r="C190" t="s">
        <v>63</v>
      </c>
      <c r="D190" s="1">
        <v>46155</v>
      </c>
      <c r="E190" t="s">
        <v>12</v>
      </c>
      <c r="F190">
        <v>1.75</v>
      </c>
    </row>
    <row r="191" spans="1:11" x14ac:dyDescent="0.25">
      <c r="A191">
        <v>19</v>
      </c>
      <c r="B191" t="s">
        <v>52</v>
      </c>
      <c r="C191" t="s">
        <v>76</v>
      </c>
      <c r="D191" s="1">
        <v>46155</v>
      </c>
      <c r="E191" t="s">
        <v>31</v>
      </c>
      <c r="G191">
        <v>10</v>
      </c>
    </row>
    <row r="192" spans="1:11" x14ac:dyDescent="0.25">
      <c r="A192">
        <v>18</v>
      </c>
      <c r="B192" t="s">
        <v>52</v>
      </c>
      <c r="C192" t="s">
        <v>77</v>
      </c>
      <c r="D192" s="1">
        <v>46155</v>
      </c>
      <c r="E192" t="s">
        <v>31</v>
      </c>
      <c r="G192">
        <v>10</v>
      </c>
    </row>
    <row r="193" spans="1:12" x14ac:dyDescent="0.25">
      <c r="A193">
        <v>17</v>
      </c>
      <c r="B193" t="s">
        <v>36</v>
      </c>
      <c r="C193" t="s">
        <v>73</v>
      </c>
      <c r="D193" s="1">
        <v>46155</v>
      </c>
      <c r="E193" t="s">
        <v>12</v>
      </c>
      <c r="F193">
        <v>2.9249999999999998</v>
      </c>
    </row>
    <row r="194" spans="1:12" x14ac:dyDescent="0.25">
      <c r="A194">
        <v>16</v>
      </c>
      <c r="B194" t="s">
        <v>37</v>
      </c>
      <c r="C194" t="s">
        <v>56</v>
      </c>
      <c r="D194" s="1">
        <v>46155</v>
      </c>
      <c r="E194" t="s">
        <v>12</v>
      </c>
      <c r="F194">
        <v>2.9249999999999998</v>
      </c>
    </row>
    <row r="195" spans="1:12" x14ac:dyDescent="0.25">
      <c r="A195">
        <v>15</v>
      </c>
      <c r="B195" t="s">
        <v>53</v>
      </c>
      <c r="C195" t="s">
        <v>80</v>
      </c>
      <c r="D195" s="1">
        <v>46151</v>
      </c>
      <c r="E195" t="s">
        <v>31</v>
      </c>
      <c r="G195">
        <v>12</v>
      </c>
    </row>
    <row r="196" spans="1:12" x14ac:dyDescent="0.25">
      <c r="A196">
        <v>14</v>
      </c>
      <c r="B196" t="s">
        <v>50</v>
      </c>
      <c r="C196" t="s">
        <v>50</v>
      </c>
      <c r="D196" s="1">
        <v>46151</v>
      </c>
      <c r="E196" t="s">
        <v>12</v>
      </c>
      <c r="F196">
        <v>2</v>
      </c>
    </row>
    <row r="197" spans="1:12" x14ac:dyDescent="0.25">
      <c r="A197">
        <v>13</v>
      </c>
      <c r="B197" t="s">
        <v>36</v>
      </c>
      <c r="C197" t="s">
        <v>73</v>
      </c>
      <c r="D197" s="1">
        <v>46150</v>
      </c>
      <c r="E197" t="s">
        <v>12</v>
      </c>
      <c r="F197">
        <v>8.1999999999999993</v>
      </c>
    </row>
    <row r="198" spans="1:12" x14ac:dyDescent="0.25">
      <c r="A198">
        <v>12</v>
      </c>
      <c r="B198" t="s">
        <v>34</v>
      </c>
      <c r="C198" t="s">
        <v>63</v>
      </c>
      <c r="D198" s="1">
        <v>46150</v>
      </c>
      <c r="E198" t="s">
        <v>12</v>
      </c>
      <c r="F198">
        <v>2.2999999999999998</v>
      </c>
    </row>
    <row r="199" spans="1:12" x14ac:dyDescent="0.25">
      <c r="A199">
        <v>11</v>
      </c>
      <c r="B199" t="s">
        <v>52</v>
      </c>
      <c r="C199" t="s">
        <v>76</v>
      </c>
      <c r="D199" s="1">
        <v>46150</v>
      </c>
      <c r="E199" t="s">
        <v>31</v>
      </c>
      <c r="G199">
        <v>10</v>
      </c>
    </row>
    <row r="200" spans="1:12" x14ac:dyDescent="0.25">
      <c r="A200">
        <v>10</v>
      </c>
      <c r="B200" t="s">
        <v>52</v>
      </c>
      <c r="C200" t="s">
        <v>77</v>
      </c>
      <c r="D200" s="1">
        <v>46150</v>
      </c>
      <c r="E200" t="s">
        <v>31</v>
      </c>
      <c r="G200">
        <v>10</v>
      </c>
    </row>
    <row r="201" spans="1:12" x14ac:dyDescent="0.25">
      <c r="A201">
        <v>9</v>
      </c>
      <c r="B201" t="s">
        <v>34</v>
      </c>
      <c r="C201" t="s">
        <v>78</v>
      </c>
      <c r="D201" s="1">
        <v>46150</v>
      </c>
      <c r="E201" t="s">
        <v>31</v>
      </c>
      <c r="G201">
        <v>20</v>
      </c>
    </row>
    <row r="202" spans="1:12" x14ac:dyDescent="0.25">
      <c r="A202">
        <v>8</v>
      </c>
      <c r="B202" t="s">
        <v>39</v>
      </c>
      <c r="C202" t="s">
        <v>69</v>
      </c>
      <c r="D202" s="1">
        <v>46150</v>
      </c>
      <c r="E202" t="s">
        <v>31</v>
      </c>
      <c r="G202">
        <v>10</v>
      </c>
    </row>
    <row r="203" spans="1:12" x14ac:dyDescent="0.25">
      <c r="A203">
        <v>7</v>
      </c>
      <c r="B203" t="s">
        <v>52</v>
      </c>
      <c r="C203" t="s">
        <v>79</v>
      </c>
      <c r="D203" s="1">
        <v>46150</v>
      </c>
      <c r="E203" t="s">
        <v>31</v>
      </c>
      <c r="G203">
        <v>10</v>
      </c>
    </row>
    <row r="204" spans="1:12" x14ac:dyDescent="0.25">
      <c r="A204">
        <v>6</v>
      </c>
      <c r="B204" t="s">
        <v>50</v>
      </c>
      <c r="C204" t="s">
        <v>50</v>
      </c>
      <c r="D204" s="1">
        <v>46150</v>
      </c>
      <c r="E204" t="s">
        <v>12</v>
      </c>
      <c r="F204">
        <v>7.5</v>
      </c>
    </row>
    <row r="205" spans="1:12" x14ac:dyDescent="0.25">
      <c r="A205">
        <v>5</v>
      </c>
      <c r="B205" t="s">
        <v>34</v>
      </c>
      <c r="C205" t="s">
        <v>78</v>
      </c>
      <c r="D205" s="1">
        <v>46142</v>
      </c>
      <c r="E205" t="s">
        <v>31</v>
      </c>
      <c r="G205">
        <v>40</v>
      </c>
    </row>
    <row r="206" spans="1:12" x14ac:dyDescent="0.25">
      <c r="A206">
        <v>4</v>
      </c>
      <c r="B206" t="s">
        <v>35</v>
      </c>
      <c r="C206" t="s">
        <v>82</v>
      </c>
      <c r="D206" s="1">
        <v>46142</v>
      </c>
      <c r="E206" t="s">
        <v>31</v>
      </c>
      <c r="G206">
        <v>20</v>
      </c>
    </row>
    <row r="207" spans="1:12" x14ac:dyDescent="0.25">
      <c r="A207">
        <v>3</v>
      </c>
      <c r="B207" t="s">
        <v>50</v>
      </c>
      <c r="C207" t="s">
        <v>50</v>
      </c>
      <c r="D207" s="1">
        <v>46142</v>
      </c>
      <c r="E207" t="s">
        <v>12</v>
      </c>
      <c r="F207">
        <v>1.8</v>
      </c>
    </row>
    <row r="208" spans="1:12" x14ac:dyDescent="0.25">
      <c r="A208">
        <v>2</v>
      </c>
      <c r="B208" t="s">
        <v>34</v>
      </c>
      <c r="C208" t="s">
        <v>83</v>
      </c>
      <c r="D208" s="1">
        <v>46142</v>
      </c>
      <c r="E208" t="s">
        <v>12</v>
      </c>
      <c r="F208">
        <v>5</v>
      </c>
      <c r="L208" t="s">
        <v>32</v>
      </c>
    </row>
    <row r="209" spans="1:6" x14ac:dyDescent="0.25">
      <c r="A209">
        <v>1</v>
      </c>
      <c r="B209" t="s">
        <v>50</v>
      </c>
      <c r="C209" t="s">
        <v>50</v>
      </c>
      <c r="D209" s="1">
        <v>46140</v>
      </c>
      <c r="E209" t="s">
        <v>12</v>
      </c>
      <c r="F209">
        <v>2.5499999999999998</v>
      </c>
    </row>
  </sheetData>
  <autoFilter ref="A1:L209" xr:uid="{66B285FB-FAE5-44EC-95DD-45544C42776F}"/>
  <pageMargins left="0.7" right="0.7" top="0.75" bottom="0.75" header="0.3" footer="0.3"/>
  <headerFooter>
    <oddFooter>&amp;C_x000D_&amp;1#&amp;"Verdana"&amp;7&amp;K000000 Confidential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harvest_tracker_euf_20260719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Sylwia Zieba</cp:lastModifiedBy>
  <dcterms:created xsi:type="dcterms:W3CDTF">2026-07-20T13:27:13Z</dcterms:created>
  <dcterms:modified xsi:type="dcterms:W3CDTF">2026-08-17T16:32:04Z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ea7001-5c24-4702-a3ac-e436ccb02747_Enabled">
    <vt:lpwstr>true</vt:lpwstr>
  </property>
  <property fmtid="{D5CDD505-2E9C-101B-9397-08002B2CF9AE}" pid="3" name="MSIP_Label_20ea7001-5c24-4702-a3ac-e436ccb02747_SetDate">
    <vt:lpwstr>2026-07-20T13:27:47Z</vt:lpwstr>
  </property>
  <property fmtid="{D5CDD505-2E9C-101B-9397-08002B2CF9AE}" pid="4" name="MSIP_Label_20ea7001-5c24-4702-a3ac-e436ccb02747_Method">
    <vt:lpwstr>Standard</vt:lpwstr>
  </property>
  <property fmtid="{D5CDD505-2E9C-101B-9397-08002B2CF9AE}" pid="5" name="MSIP_Label_20ea7001-5c24-4702-a3ac-e436ccb02747_Name">
    <vt:lpwstr>Confidential</vt:lpwstr>
  </property>
  <property fmtid="{D5CDD505-2E9C-101B-9397-08002B2CF9AE}" pid="6" name="MSIP_Label_20ea7001-5c24-4702-a3ac-e436ccb02747_SiteId">
    <vt:lpwstr>c8823c91-be81-4f89-b024-6c3dd789c106</vt:lpwstr>
  </property>
  <property fmtid="{D5CDD505-2E9C-101B-9397-08002B2CF9AE}" pid="7" name="MSIP_Label_20ea7001-5c24-4702-a3ac-e436ccb02747_ActionId">
    <vt:lpwstr>82d700e7-0ee4-4582-a8fb-f2249582389d</vt:lpwstr>
  </property>
  <property fmtid="{D5CDD505-2E9C-101B-9397-08002B2CF9AE}" pid="8" name="MSIP_Label_20ea7001-5c24-4702-a3ac-e436ccb02747_ContentBits">
    <vt:lpwstr>2</vt:lpwstr>
  </property>
  <property fmtid="{D5CDD505-2E9C-101B-9397-08002B2CF9AE}" pid="9" name="MSIP_Label_20ea7001-5c24-4702-a3ac-e436ccb02747_Tag">
    <vt:lpwstr>10, 3, 0, 1</vt:lpwstr>
  </property>
</Properties>
</file>